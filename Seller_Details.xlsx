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vedan\OneDrive\Desktop\Excel Projects\"/>
    </mc:Choice>
  </mc:AlternateContent>
  <xr:revisionPtr revIDLastSave="0" documentId="8_{18FD288B-1401-4DBA-8A0D-283C0F0D70D9}" xr6:coauthVersionLast="47" xr6:coauthVersionMax="47" xr10:uidLastSave="{00000000-0000-0000-0000-000000000000}"/>
  <bookViews>
    <workbookView xWindow="-110" yWindow="-110" windowWidth="19420" windowHeight="10300" xr2:uid="{C1DE034C-1E7F-4B6D-903C-6AD9F02EA688}"/>
  </bookViews>
  <sheets>
    <sheet name="Sheet1" sheetId="1" r:id="rId1"/>
    <sheet name="Pivot Table" sheetId="2" r:id="rId2"/>
    <sheet name="Dashboard" sheetId="3" r:id="rId3"/>
    <sheet name="Seller" sheetId="4" r:id="rId4"/>
  </sheets>
  <definedNames>
    <definedName name="NativeTimeline_Date">#N/A</definedName>
    <definedName name="Slicer_City">#N/A</definedName>
    <definedName name="Slicer_Item">#N/A</definedName>
    <definedName name="Slicer_Seller">#N/A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2" l="1"/>
</calcChain>
</file>

<file path=xl/sharedStrings.xml><?xml version="1.0" encoding="utf-8"?>
<sst xmlns="http://schemas.openxmlformats.org/spreadsheetml/2006/main" count="481" uniqueCount="31">
  <si>
    <t>S.N</t>
  </si>
  <si>
    <t>Seller</t>
  </si>
  <si>
    <t>City</t>
  </si>
  <si>
    <t>Date</t>
  </si>
  <si>
    <t>Item</t>
  </si>
  <si>
    <t>Qty</t>
  </si>
  <si>
    <t>Rate</t>
  </si>
  <si>
    <t>Total</t>
  </si>
  <si>
    <t>SHIVAM VERMA</t>
  </si>
  <si>
    <t>Sitapur</t>
  </si>
  <si>
    <t>Mouse</t>
  </si>
  <si>
    <t>Keyboard</t>
  </si>
  <si>
    <t>RAM</t>
  </si>
  <si>
    <t>SSD</t>
  </si>
  <si>
    <t>Mic</t>
  </si>
  <si>
    <t>M/B</t>
  </si>
  <si>
    <t>ADITYA KUMAR</t>
  </si>
  <si>
    <t>Lakhimpur</t>
  </si>
  <si>
    <t>RAM PRAVESH</t>
  </si>
  <si>
    <t>NITESH CHAURASIYA</t>
  </si>
  <si>
    <t>Lucknow</t>
  </si>
  <si>
    <t>GAJENDRA SINGH</t>
  </si>
  <si>
    <t>ABHISHEK DIXIT</t>
  </si>
  <si>
    <t>Row Labels</t>
  </si>
  <si>
    <t>Grand Total</t>
  </si>
  <si>
    <t>Jan</t>
  </si>
  <si>
    <t>Feb</t>
  </si>
  <si>
    <t>Mar</t>
  </si>
  <si>
    <t>Apr</t>
  </si>
  <si>
    <t>Sum of Total</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</si>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</sst>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cellXfs>
  <cellStyles count="1">
    <cellStyle name="Normal" xfId="0" builtinId="0"/>
  </cellStyles>
  <dxfs count="2">
    <dxf>
      <font>
        <b/>
        <i val="0"/>
        <strike val="0"/>
        <condense val="0"/>
        <extend val="0"/>
        <outline val="0"/>
        <shadow val="0"/>
        <u val="none"/>
        <vertAlign val="baseline"/>
        <sz val="11"/>
        <color theme="1"/>
        <name val="Calibri"/>
        <family val="2"/>
        <scheme val="minor"/>
      </font>
    </dxf>
    <dxf>
      <numFmt numFmtId="19" formatCode="dd/mm/yyyy"/>
    </dxf>
  </dxfs>
  <tableStyles count="0" defaultTableStyle="TableStyleMedium2" defaultPivotStyle="PivotStyleLight16"/>
  <colors>
    <mruColors>
      <color rgb="FF69FD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[Seller_Details.xlsx]Pivot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Monthwise Sale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Jan</c:v>
                </c:pt>
                <c:pt idx="1">
                  <c:v>Feb</c:v>
                </c:pt>
                <c:pt idx="2">
                  <c:v>Mar</c:v>
                </c:pt>
                <c:pt idx="3">
                  <c:v>Apr</c:v>
                </c:pt>
              </c:strCache>
            </c:strRef>
          </c:cat>
          <c:val>
            <c:numRef>
              <c:f>'Pivot Table'!$B$4:$B$8</c:f>
              <c:numCache>
                <c:formatCode>General</c:formatCode>
                <c:ptCount val="4"/>
                <c:pt idx="0">
                  <c:v>1014550</c:v>
                </c:pt>
                <c:pt idx="1">
                  <c:v>926100</c:v>
                </c:pt>
                <c:pt idx="2">
                  <c:v>1108400</c:v>
                </c:pt>
                <c:pt idx="3">
                  <c:v>1038900</c:v>
                </c:pt>
              </c:numCache>
            </c:numRef>
          </c:val>
          <c:extLst>
            <c:ext xmlns:c16="http://schemas.microsoft.com/office/drawing/2014/chart" uri="{C3380CC4-5D6E-409C-BE32-E72D297353CC}">
              <c16:uniqueId val="{00000002-7A4B-4765-A7FF-039DBA3FA58D}"/>
            </c:ext>
          </c:extLst>
        </c:ser>
        <c:dLbls>
          <c:showLegendKey val="0"/>
          <c:showVal val="0"/>
          <c:showCatName val="0"/>
          <c:showSerName val="0"/>
          <c:showPercent val="0"/>
          <c:showBubbleSize val="0"/>
        </c:dLbls>
        <c:gapWidth val="219"/>
        <c:overlap val="-27"/>
        <c:axId val="1096122495"/>
        <c:axId val="1096124895"/>
      </c:barChart>
      <c:catAx>
        <c:axId val="109612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24895"/>
        <c:crosses val="autoZero"/>
        <c:auto val="1"/>
        <c:lblAlgn val="ctr"/>
        <c:lblOffset val="100"/>
        <c:noMultiLvlLbl val="0"/>
      </c:catAx>
      <c:valAx>
        <c:axId val="109612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2249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[Seller_Details.xlsx]Pivot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Quantity of Sale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6C-4D1F-822E-89375F38DE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6C-4D1F-822E-89375F38DE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6C-4D1F-822E-89375F38DE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6C-4D1F-822E-89375F38DE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6C-4D1F-822E-89375F38DE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B6C-4D1F-822E-89375F38DE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Table'!$A$12:$A$18</c:f>
              <c:strCache>
                <c:ptCount val="6"/>
                <c:pt idx="0">
                  <c:v>Keyboard</c:v>
                </c:pt>
                <c:pt idx="1">
                  <c:v>M/B</c:v>
                </c:pt>
                <c:pt idx="2">
                  <c:v>Mic</c:v>
                </c:pt>
                <c:pt idx="3">
                  <c:v>Mouse</c:v>
                </c:pt>
                <c:pt idx="4">
                  <c:v>RAM</c:v>
                </c:pt>
                <c:pt idx="5">
                  <c:v>SSD</c:v>
                </c:pt>
              </c:strCache>
            </c:strRef>
          </c:cat>
          <c:val>
            <c:numRef>
              <c:f>'Pivot Table'!$B$12:$B$18</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C-5B6C-4D1F-822E-89375F38DE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[Seller_Details.xlsx]Pivot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City Wise Sale</a:t>
            </a:r>
          </a:p>
        </c:rich>
      </c:tx>
      <c:layout>
        <c:manualLayout>
          <c:xMode val="edge"/>
          <c:yMode val="edge"/>
          <c:x val="0.36063411632327524"/>
          <c:y val="3.18513536616307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Table'!$D$4:$D$7</c:f>
              <c:strCache>
                <c:ptCount val="3"/>
                <c:pt idx="0">
                  <c:v>Lakhimpur</c:v>
                </c:pt>
                <c:pt idx="1">
                  <c:v>Lucknow</c:v>
                </c:pt>
                <c:pt idx="2">
                  <c:v>Sitapur</c:v>
                </c:pt>
              </c:strCache>
            </c:strRef>
          </c:cat>
          <c:val>
            <c:numRef>
              <c:f>'Pivot Table'!$E$4:$E$7</c:f>
              <c:numCache>
                <c:formatCode>General</c:formatCode>
                <c:ptCount val="3"/>
                <c:pt idx="0">
                  <c:v>1203900</c:v>
                </c:pt>
                <c:pt idx="1">
                  <c:v>1340900</c:v>
                </c:pt>
                <c:pt idx="2">
                  <c:v>1543150</c:v>
                </c:pt>
              </c:numCache>
            </c:numRef>
          </c:val>
          <c:extLst>
            <c:ext xmlns:c16="http://schemas.microsoft.com/office/drawing/2014/chart" uri="{C3380CC4-5D6E-409C-BE32-E72D297353CC}">
              <c16:uniqueId val="{00000000-5F88-4D66-889E-AB45F3DE55EA}"/>
            </c:ext>
          </c:extLst>
        </c:ser>
        <c:dLbls>
          <c:showLegendKey val="0"/>
          <c:showVal val="0"/>
          <c:showCatName val="0"/>
          <c:showSerName val="0"/>
          <c:showPercent val="0"/>
          <c:showBubbleSize val="0"/>
        </c:dLbls>
        <c:gapWidth val="219"/>
        <c:overlap val="-27"/>
        <c:axId val="933707887"/>
        <c:axId val="933692527"/>
      </c:barChart>
      <c:catAx>
        <c:axId val="93370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92527"/>
        <c:crosses val="autoZero"/>
        <c:auto val="1"/>
        <c:lblAlgn val="ctr"/>
        <c:lblOffset val="100"/>
        <c:noMultiLvlLbl val="0"/>
      </c:catAx>
      <c:valAx>
        <c:axId val="93369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0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[Seller_Details.xlsx]Pivot 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 Total Item</a:t>
            </a:r>
          </a:p>
        </c:rich>
      </c:tx>
      <c:layout>
        <c:manualLayout>
          <c:xMode val="edge"/>
          <c:yMode val="edge"/>
          <c:x val="0.36808018045363378"/>
          <c:y val="3.135205102896032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Table'!$G$4:$G$10</c:f>
              <c:strCache>
                <c:ptCount val="6"/>
                <c:pt idx="0">
                  <c:v>Keyboard</c:v>
                </c:pt>
                <c:pt idx="1">
                  <c:v>M/B</c:v>
                </c:pt>
                <c:pt idx="2">
                  <c:v>Mic</c:v>
                </c:pt>
                <c:pt idx="3">
                  <c:v>Mouse</c:v>
                </c:pt>
                <c:pt idx="4">
                  <c:v>RAM</c:v>
                </c:pt>
                <c:pt idx="5">
                  <c:v>SSD</c:v>
                </c:pt>
              </c:strCache>
            </c:strRef>
          </c:cat>
          <c:val>
            <c:numRef>
              <c:f>'Pivot Table'!$H$4:$H$10</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4-A676-4429-8150-C7DC77953CBD}"/>
            </c:ext>
          </c:extLst>
        </c:ser>
        <c:dLbls>
          <c:showLegendKey val="0"/>
          <c:showVal val="0"/>
          <c:showCatName val="0"/>
          <c:showSerName val="0"/>
          <c:showPercent val="0"/>
          <c:showBubbleSize val="0"/>
        </c:dLbls>
        <c:gapWidth val="219"/>
        <c:overlap val="-27"/>
        <c:axId val="1306233679"/>
        <c:axId val="1306234159"/>
      </c:barChart>
      <c:catAx>
        <c:axId val="13062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34159"/>
        <c:crosses val="autoZero"/>
        <c:auto val="1"/>
        <c:lblAlgn val="ctr"/>
        <c:lblOffset val="100"/>
        <c:noMultiLvlLbl val="0"/>
      </c:catAx>
      <c:valAx>
        <c:axId val="130623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3367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[Seller_Details.xlsx]Pivot Table!PivotTable6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Table'!$G$14:$G$20</c:f>
              <c:strCache>
                <c:ptCount val="6"/>
                <c:pt idx="0">
                  <c:v>ABHISHEK DIXIT</c:v>
                </c:pt>
                <c:pt idx="1">
                  <c:v>ADITYA KUMAR</c:v>
                </c:pt>
                <c:pt idx="2">
                  <c:v>GAJENDRA SINGH</c:v>
                </c:pt>
                <c:pt idx="3">
                  <c:v>NITESH CHAURASIYA</c:v>
                </c:pt>
                <c:pt idx="4">
                  <c:v>RAM PRAVESH</c:v>
                </c:pt>
                <c:pt idx="5">
                  <c:v>SHIVAM VERMA</c:v>
                </c:pt>
              </c:strCache>
            </c:strRef>
          </c:cat>
          <c:val>
            <c:numRef>
              <c:f>'Pivot Table'!$H$14:$H$20</c:f>
              <c:numCache>
                <c:formatCode>General</c:formatCode>
                <c:ptCount val="6"/>
                <c:pt idx="0">
                  <c:v>754950</c:v>
                </c:pt>
                <c:pt idx="1">
                  <c:v>593650</c:v>
                </c:pt>
                <c:pt idx="2">
                  <c:v>769200</c:v>
                </c:pt>
                <c:pt idx="3">
                  <c:v>585950</c:v>
                </c:pt>
                <c:pt idx="4">
                  <c:v>610250</c:v>
                </c:pt>
                <c:pt idx="5">
                  <c:v>773950</c:v>
                </c:pt>
              </c:numCache>
            </c:numRef>
          </c:val>
          <c:extLst>
            <c:ext xmlns:c16="http://schemas.microsoft.com/office/drawing/2014/chart" uri="{C3380CC4-5D6E-409C-BE32-E72D297353CC}">
              <c16:uniqueId val="{00000000-9223-4768-9723-57D5C88228A1}"/>
            </c:ext>
          </c:extLst>
        </c:ser>
        <c:dLbls>
          <c:showLegendKey val="0"/>
          <c:showVal val="0"/>
          <c:showCatName val="0"/>
          <c:showSerName val="0"/>
          <c:showPercent val="0"/>
          <c:showBubbleSize val="0"/>
        </c:dLbls>
        <c:gapWidth val="219"/>
        <c:overlap val="-27"/>
        <c:axId val="1306233679"/>
        <c:axId val="1306234159"/>
      </c:barChart>
      <c:catAx>
        <c:axId val="13062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34159"/>
        <c:crosses val="autoZero"/>
        <c:auto val="1"/>
        <c:lblAlgn val="ctr"/>
        <c:lblOffset val="100"/>
        <c:noMultiLvlLbl val="0"/>
      </c:catAx>
      <c:valAx>
        <c:axId val="130623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3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Seller!A1"/></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69850</xdr:colOff>
      <xdr:row>0</xdr:row>
      <xdr:rowOff>69850</xdr:rowOff>
    </xdr:from>
    <xdr:to>
      <xdr:col>23</xdr:col>
      <xdr:colOff>452437</xdr:colOff>
      <xdr:row>26</xdr:row>
      <xdr:rowOff>87313</xdr:rowOff>
    </xdr:to>
    <xdr:sp macro="" textlink="">
      <xdr:nvSpPr>
        <xdr:cNvPr id="2" name="Rectangle: Rounded Corners 1">
          <a:extLst>
            <a:ext uri="{FF2B5EF4-FFF2-40B4-BE49-F238E27FC236}">
              <a16:creationId xmlns:a16="http://schemas.microsoft.com/office/drawing/2014/main" id="{FEF1EAEF-422E-D5D4-36BC-BD6F4AF45EA3}"/>
            </a:ext>
          </a:extLst>
        </xdr:cNvPr>
        <xdr:cNvSpPr/>
      </xdr:nvSpPr>
      <xdr:spPr>
        <a:xfrm>
          <a:off x="69850" y="69850"/>
          <a:ext cx="14439900" cy="4764088"/>
        </a:xfrm>
        <a:prstGeom prst="roundRect">
          <a:avLst>
            <a:gd name="adj" fmla="val 3338"/>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269873</xdr:colOff>
      <xdr:row>5</xdr:row>
      <xdr:rowOff>139701</xdr:rowOff>
    </xdr:from>
    <xdr:to>
      <xdr:col>20</xdr:col>
      <xdr:colOff>265111</xdr:colOff>
      <xdr:row>12</xdr:row>
      <xdr:rowOff>95251</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3A400275-1C9A-4F9B-812C-4CEEED79E43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660061" y="1052514"/>
              <a:ext cx="1828800" cy="1233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295275</xdr:colOff>
      <xdr:row>0</xdr:row>
      <xdr:rowOff>142875</xdr:rowOff>
    </xdr:from>
    <xdr:to>
      <xdr:col>23</xdr:col>
      <xdr:colOff>290512</xdr:colOff>
      <xdr:row>12</xdr:row>
      <xdr:rowOff>134938</xdr:rowOff>
    </xdr:to>
    <mc:AlternateContent xmlns:mc="http://schemas.openxmlformats.org/markup-compatibility/2006">
      <mc:Choice xmlns:a14="http://schemas.microsoft.com/office/drawing/2010/main" Requires="a14">
        <xdr:graphicFrame macro="">
          <xdr:nvGraphicFramePr>
            <xdr:cNvPr id="4" name="Item">
              <a:extLst>
                <a:ext uri="{FF2B5EF4-FFF2-40B4-BE49-F238E27FC236}">
                  <a16:creationId xmlns:a16="http://schemas.microsoft.com/office/drawing/2014/main" id="{6CFE79D6-9408-45B7-BD43-24905D9B4E2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2519025" y="142875"/>
              <a:ext cx="1828800" cy="2182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317502</xdr:colOff>
      <xdr:row>0</xdr:row>
      <xdr:rowOff>134938</xdr:rowOff>
    </xdr:from>
    <xdr:to>
      <xdr:col>20</xdr:col>
      <xdr:colOff>261939</xdr:colOff>
      <xdr:row>5</xdr:row>
      <xdr:rowOff>87313</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ED7A39E5-5985-4D5A-8990-DA19E6F4A9E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429377" y="134938"/>
              <a:ext cx="6056312" cy="86518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93663</xdr:colOff>
      <xdr:row>12</xdr:row>
      <xdr:rowOff>128586</xdr:rowOff>
    </xdr:from>
    <xdr:to>
      <xdr:col>23</xdr:col>
      <xdr:colOff>15875</xdr:colOff>
      <xdr:row>25</xdr:row>
      <xdr:rowOff>146049</xdr:rowOff>
    </xdr:to>
    <xdr:graphicFrame macro="">
      <xdr:nvGraphicFramePr>
        <xdr:cNvPr id="6" name="Chart 5">
          <a:extLst>
            <a:ext uri="{FF2B5EF4-FFF2-40B4-BE49-F238E27FC236}">
              <a16:creationId xmlns:a16="http://schemas.microsoft.com/office/drawing/2014/main" id="{3940D80D-B43C-468D-8257-AE93EFD27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12</xdr:row>
      <xdr:rowOff>127000</xdr:rowOff>
    </xdr:from>
    <xdr:to>
      <xdr:col>7</xdr:col>
      <xdr:colOff>460375</xdr:colOff>
      <xdr:row>25</xdr:row>
      <xdr:rowOff>146049</xdr:rowOff>
    </xdr:to>
    <xdr:graphicFrame macro="">
      <xdr:nvGraphicFramePr>
        <xdr:cNvPr id="9" name="Chart 8">
          <a:extLst>
            <a:ext uri="{FF2B5EF4-FFF2-40B4-BE49-F238E27FC236}">
              <a16:creationId xmlns:a16="http://schemas.microsoft.com/office/drawing/2014/main" id="{9AB71A9E-81C7-456A-8641-A1E23DBF3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117476</xdr:colOff>
      <xdr:row>12</xdr:row>
      <xdr:rowOff>134937</xdr:rowOff>
    </xdr:from>
    <xdr:to>
      <xdr:col>15</xdr:col>
      <xdr:colOff>444501</xdr:colOff>
      <xdr:row>25</xdr:row>
      <xdr:rowOff>153987</xdr:rowOff>
    </xdr:to>
    <xdr:graphicFrame macro="">
      <xdr:nvGraphicFramePr>
        <xdr:cNvPr id="10" name="Chart 9">
          <a:extLst>
            <a:ext uri="{FF2B5EF4-FFF2-40B4-BE49-F238E27FC236}">
              <a16:creationId xmlns:a16="http://schemas.microsoft.com/office/drawing/2014/main" id="{358A4A44-7412-4D89-A34C-72BED6B0B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158750</xdr:colOff>
      <xdr:row>6</xdr:row>
      <xdr:rowOff>103188</xdr:rowOff>
    </xdr:from>
    <xdr:to>
      <xdr:col>7</xdr:col>
      <xdr:colOff>500062</xdr:colOff>
      <xdr:row>12</xdr:row>
      <xdr:rowOff>63500</xdr:rowOff>
    </xdr:to>
    <xdr:sp macro="" textlink="">
      <xdr:nvSpPr>
        <xdr:cNvPr id="11" name="Rectangle: Rounded Corners 10">
          <a:extLst>
            <a:ext uri="{FF2B5EF4-FFF2-40B4-BE49-F238E27FC236}">
              <a16:creationId xmlns:a16="http://schemas.microsoft.com/office/drawing/2014/main" id="{4489DA45-5DDD-0B94-0D7A-E773FF637B28}"/>
            </a:ext>
          </a:extLst>
        </xdr:cNvPr>
        <xdr:cNvSpPr/>
      </xdr:nvSpPr>
      <xdr:spPr>
        <a:xfrm>
          <a:off x="158750" y="1198563"/>
          <a:ext cx="4619625" cy="105568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rPr>
            <a:t>Total Sale Amount</a:t>
          </a:r>
        </a:p>
      </xdr:txBody>
    </xdr:sp>
    <xdr:clientData/>
  </xdr:twoCellAnchor>
  <xdr:twoCellAnchor>
    <xdr:from>
      <xdr:col>1</xdr:col>
      <xdr:colOff>341312</xdr:colOff>
      <xdr:row>9</xdr:row>
      <xdr:rowOff>71437</xdr:rowOff>
    </xdr:from>
    <xdr:to>
      <xdr:col>6</xdr:col>
      <xdr:colOff>317500</xdr:colOff>
      <xdr:row>12</xdr:row>
      <xdr:rowOff>23813</xdr:rowOff>
    </xdr:to>
    <xdr:sp macro="" textlink="'Pivot Table'!E11">
      <xdr:nvSpPr>
        <xdr:cNvPr id="12" name="Rectangle: Rounded Corners 11">
          <a:extLst>
            <a:ext uri="{FF2B5EF4-FFF2-40B4-BE49-F238E27FC236}">
              <a16:creationId xmlns:a16="http://schemas.microsoft.com/office/drawing/2014/main" id="{F330952F-C7FD-99EF-AC6E-75D24395B5B8}"/>
            </a:ext>
          </a:extLst>
        </xdr:cNvPr>
        <xdr:cNvSpPr/>
      </xdr:nvSpPr>
      <xdr:spPr>
        <a:xfrm>
          <a:off x="952500" y="1714500"/>
          <a:ext cx="3032125" cy="50006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BC4B46-6363-4F59-9D0A-BB12D1C532CC}" type="TxLink">
            <a:rPr lang="en-US" sz="2400" b="1" i="0" u="none" strike="noStrike">
              <a:solidFill>
                <a:sysClr val="windowText" lastClr="000000"/>
              </a:solidFill>
              <a:latin typeface="Calibri"/>
              <a:ea typeface="Calibri"/>
              <a:cs typeface="Calibri"/>
            </a:rPr>
            <a:pPr algn="ctr"/>
            <a:t>₹ 40,87,950</a:t>
          </a:fld>
          <a:endParaRPr lang="en-IN" sz="2400" b="1">
            <a:solidFill>
              <a:sysClr val="windowText" lastClr="000000"/>
            </a:solidFill>
          </a:endParaRPr>
        </a:p>
      </xdr:txBody>
    </xdr:sp>
    <xdr:clientData/>
  </xdr:twoCellAnchor>
  <xdr:twoCellAnchor>
    <xdr:from>
      <xdr:col>0</xdr:col>
      <xdr:colOff>165100</xdr:colOff>
      <xdr:row>0</xdr:row>
      <xdr:rowOff>93662</xdr:rowOff>
    </xdr:from>
    <xdr:to>
      <xdr:col>7</xdr:col>
      <xdr:colOff>506412</xdr:colOff>
      <xdr:row>6</xdr:row>
      <xdr:rowOff>53974</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22C4D2E6-A1D7-491D-B3D6-9480C7BED3CB}"/>
            </a:ext>
          </a:extLst>
        </xdr:cNvPr>
        <xdr:cNvSpPr/>
      </xdr:nvSpPr>
      <xdr:spPr>
        <a:xfrm>
          <a:off x="165100" y="93662"/>
          <a:ext cx="4619625" cy="105568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solidFill>
                <a:sysClr val="windowText" lastClr="000000"/>
              </a:solidFill>
            </a:rPr>
            <a:t>Dashboard</a:t>
          </a:r>
        </a:p>
      </xdr:txBody>
    </xdr:sp>
    <xdr:clientData/>
  </xdr:twoCellAnchor>
  <xdr:twoCellAnchor>
    <xdr:from>
      <xdr:col>10</xdr:col>
      <xdr:colOff>39688</xdr:colOff>
      <xdr:row>6</xdr:row>
      <xdr:rowOff>166688</xdr:rowOff>
    </xdr:from>
    <xdr:to>
      <xdr:col>15</xdr:col>
      <xdr:colOff>127000</xdr:colOff>
      <xdr:row>11</xdr:row>
      <xdr:rowOff>47625</xdr:rowOff>
    </xdr:to>
    <xdr:sp macro="" textlink="">
      <xdr:nvSpPr>
        <xdr:cNvPr id="15" name="Rectangle 14">
          <a:extLst>
            <a:ext uri="{FF2B5EF4-FFF2-40B4-BE49-F238E27FC236}">
              <a16:creationId xmlns:a16="http://schemas.microsoft.com/office/drawing/2014/main" id="{22FE1FC8-3BE8-A0CD-1639-12EB7BC478AD}"/>
            </a:ext>
          </a:extLst>
        </xdr:cNvPr>
        <xdr:cNvSpPr/>
      </xdr:nvSpPr>
      <xdr:spPr>
        <a:xfrm>
          <a:off x="6151563" y="1262063"/>
          <a:ext cx="3143250" cy="793750"/>
        </a:xfrm>
        <a:prstGeom prst="rect">
          <a:avLst/>
        </a:prstGeom>
        <a:solidFill>
          <a:srgbClr val="69FD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solidFill>
                <a:sysClr val="windowText" lastClr="000000"/>
              </a:solidFill>
              <a:latin typeface="Batang" panose="02030600000101010101" pitchFamily="18" charset="-127"/>
              <a:ea typeface="Batang" panose="02030600000101010101" pitchFamily="18" charset="-127"/>
            </a:rPr>
            <a:t>VEDANT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53975</xdr:rowOff>
    </xdr:from>
    <xdr:to>
      <xdr:col>23</xdr:col>
      <xdr:colOff>382587</xdr:colOff>
      <xdr:row>26</xdr:row>
      <xdr:rowOff>71438</xdr:rowOff>
    </xdr:to>
    <xdr:sp macro="" textlink="">
      <xdr:nvSpPr>
        <xdr:cNvPr id="2" name="Rectangle: Rounded Corners 1">
          <a:extLst>
            <a:ext uri="{FF2B5EF4-FFF2-40B4-BE49-F238E27FC236}">
              <a16:creationId xmlns:a16="http://schemas.microsoft.com/office/drawing/2014/main" id="{3107542B-8201-4863-AE92-9E89E51E6A81}"/>
            </a:ext>
          </a:extLst>
        </xdr:cNvPr>
        <xdr:cNvSpPr/>
      </xdr:nvSpPr>
      <xdr:spPr>
        <a:xfrm>
          <a:off x="0" y="53975"/>
          <a:ext cx="14439900" cy="4764088"/>
        </a:xfrm>
        <a:prstGeom prst="roundRect">
          <a:avLst>
            <a:gd name="adj" fmla="val 3338"/>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165100</xdr:colOff>
      <xdr:row>0</xdr:row>
      <xdr:rowOff>93662</xdr:rowOff>
    </xdr:from>
    <xdr:to>
      <xdr:col>7</xdr:col>
      <xdr:colOff>506412</xdr:colOff>
      <xdr:row>6</xdr:row>
      <xdr:rowOff>53974</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BE547228-BB3E-4F39-A996-BD66C78DDDB3}"/>
            </a:ext>
          </a:extLst>
        </xdr:cNvPr>
        <xdr:cNvSpPr/>
      </xdr:nvSpPr>
      <xdr:spPr>
        <a:xfrm>
          <a:off x="165100" y="93662"/>
          <a:ext cx="4608512" cy="10652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solidFill>
                <a:sysClr val="windowText" lastClr="000000"/>
              </a:solidFill>
            </a:rPr>
            <a:t>Seller Details</a:t>
          </a:r>
        </a:p>
      </xdr:txBody>
    </xdr:sp>
    <xdr:clientData/>
  </xdr:twoCellAnchor>
  <xdr:twoCellAnchor>
    <xdr:from>
      <xdr:col>11</xdr:col>
      <xdr:colOff>79376</xdr:colOff>
      <xdr:row>19</xdr:row>
      <xdr:rowOff>47624</xdr:rowOff>
    </xdr:from>
    <xdr:to>
      <xdr:col>15</xdr:col>
      <xdr:colOff>452438</xdr:colOff>
      <xdr:row>23</xdr:row>
      <xdr:rowOff>-1</xdr:rowOff>
    </xdr:to>
    <xdr:sp macro="" textlink="">
      <xdr:nvSpPr>
        <xdr:cNvPr id="12" name="Rectangle 11">
          <a:extLst>
            <a:ext uri="{FF2B5EF4-FFF2-40B4-BE49-F238E27FC236}">
              <a16:creationId xmlns:a16="http://schemas.microsoft.com/office/drawing/2014/main" id="{8B7845C8-0319-4931-B4F0-24B731921D00}"/>
            </a:ext>
          </a:extLst>
        </xdr:cNvPr>
        <xdr:cNvSpPr/>
      </xdr:nvSpPr>
      <xdr:spPr>
        <a:xfrm>
          <a:off x="6802439" y="3516312"/>
          <a:ext cx="2817812" cy="682625"/>
        </a:xfrm>
        <a:prstGeom prst="rect">
          <a:avLst/>
        </a:prstGeom>
        <a:solidFill>
          <a:srgbClr val="69FD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solidFill>
                <a:sysClr val="windowText" lastClr="000000"/>
              </a:solidFill>
              <a:latin typeface="Batang" panose="02030600000101010101" pitchFamily="18" charset="-127"/>
              <a:ea typeface="Batang" panose="02030600000101010101" pitchFamily="18" charset="-127"/>
            </a:rPr>
            <a:t>VEDANT</a:t>
          </a:r>
        </a:p>
      </xdr:txBody>
    </xdr:sp>
    <xdr:clientData/>
  </xdr:twoCellAnchor>
  <xdr:twoCellAnchor>
    <xdr:from>
      <xdr:col>16</xdr:col>
      <xdr:colOff>331788</xdr:colOff>
      <xdr:row>12</xdr:row>
      <xdr:rowOff>133350</xdr:rowOff>
    </xdr:from>
    <xdr:to>
      <xdr:col>23</xdr:col>
      <xdr:colOff>254000</xdr:colOff>
      <xdr:row>26</xdr:row>
      <xdr:rowOff>7938</xdr:rowOff>
    </xdr:to>
    <xdr:graphicFrame macro="">
      <xdr:nvGraphicFramePr>
        <xdr:cNvPr id="13" name="Chart 12">
          <a:extLst>
            <a:ext uri="{FF2B5EF4-FFF2-40B4-BE49-F238E27FC236}">
              <a16:creationId xmlns:a16="http://schemas.microsoft.com/office/drawing/2014/main" id="{9BD53023-2A2C-4535-B934-6303BF5D7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141289</xdr:colOff>
      <xdr:row>12</xdr:row>
      <xdr:rowOff>111124</xdr:rowOff>
    </xdr:from>
    <xdr:to>
      <xdr:col>10</xdr:col>
      <xdr:colOff>206376</xdr:colOff>
      <xdr:row>25</xdr:row>
      <xdr:rowOff>180974</xdr:rowOff>
    </xdr:to>
    <xdr:graphicFrame macro="">
      <xdr:nvGraphicFramePr>
        <xdr:cNvPr id="14" name="Chart 13">
          <a:extLst>
            <a:ext uri="{FF2B5EF4-FFF2-40B4-BE49-F238E27FC236}">
              <a16:creationId xmlns:a16="http://schemas.microsoft.com/office/drawing/2014/main" id="{DB5D1235-A168-4428-B824-DCC4587DE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147634</xdr:colOff>
      <xdr:row>7</xdr:row>
      <xdr:rowOff>85725</xdr:rowOff>
    </xdr:from>
    <xdr:to>
      <xdr:col>16</xdr:col>
      <xdr:colOff>325437</xdr:colOff>
      <xdr:row>11</xdr:row>
      <xdr:rowOff>55563</xdr:rowOff>
    </xdr:to>
    <mc:AlternateContent xmlns:mc="http://schemas.openxmlformats.org/markup-compatibility/2006">
      <mc:Choice xmlns:a14="http://schemas.microsoft.com/office/drawing/2010/main" Requires="a14">
        <xdr:graphicFrame macro="">
          <xdr:nvGraphicFramePr>
            <xdr:cNvPr id="15" name="Seller">
              <a:extLst>
                <a:ext uri="{FF2B5EF4-FFF2-40B4-BE49-F238E27FC236}">
                  <a16:creationId xmlns:a16="http://schemas.microsoft.com/office/drawing/2014/main" id="{8D4FB81B-E370-4970-94CF-634A3FFF3913}"/>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147634" y="1363663"/>
              <a:ext cx="9956803" cy="700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371473</xdr:colOff>
      <xdr:row>5</xdr:row>
      <xdr:rowOff>150813</xdr:rowOff>
    </xdr:from>
    <xdr:to>
      <xdr:col>20</xdr:col>
      <xdr:colOff>366711</xdr:colOff>
      <xdr:row>12</xdr:row>
      <xdr:rowOff>79376</xdr:rowOff>
    </xdr:to>
    <mc:AlternateContent xmlns:mc="http://schemas.openxmlformats.org/markup-compatibility/2006">
      <mc:Choice xmlns:a14="http://schemas.microsoft.com/office/drawing/2010/main" Requires="a14">
        <xdr:graphicFrame macro="">
          <xdr:nvGraphicFramePr>
            <xdr:cNvPr id="16" name="City 1">
              <a:extLst>
                <a:ext uri="{FF2B5EF4-FFF2-40B4-BE49-F238E27FC236}">
                  <a16:creationId xmlns:a16="http://schemas.microsoft.com/office/drawing/2014/main" id="{61635DF6-2B6C-42AE-B7C4-A8AB46F03A8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761661" y="1063626"/>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400050</xdr:colOff>
      <xdr:row>0</xdr:row>
      <xdr:rowOff>122237</xdr:rowOff>
    </xdr:from>
    <xdr:to>
      <xdr:col>23</xdr:col>
      <xdr:colOff>395287</xdr:colOff>
      <xdr:row>12</xdr:row>
      <xdr:rowOff>87312</xdr:rowOff>
    </xdr:to>
    <mc:AlternateContent xmlns:mc="http://schemas.openxmlformats.org/markup-compatibility/2006">
      <mc:Choice xmlns:a14="http://schemas.microsoft.com/office/drawing/2010/main" Requires="a14">
        <xdr:graphicFrame macro="">
          <xdr:nvGraphicFramePr>
            <xdr:cNvPr id="17" name="Item 1">
              <a:extLst>
                <a:ext uri="{FF2B5EF4-FFF2-40B4-BE49-F238E27FC236}">
                  <a16:creationId xmlns:a16="http://schemas.microsoft.com/office/drawing/2014/main" id="{3D5A9E03-2DC7-43B9-8AC8-993F3C1C0AB1}"/>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2623800" y="122237"/>
              <a:ext cx="1828800" cy="215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365124</xdr:colOff>
      <xdr:row>0</xdr:row>
      <xdr:rowOff>101599</xdr:rowOff>
    </xdr:from>
    <xdr:to>
      <xdr:col>20</xdr:col>
      <xdr:colOff>357188</xdr:colOff>
      <xdr:row>5</xdr:row>
      <xdr:rowOff>119062</xdr:rowOff>
    </xdr:to>
    <mc:AlternateContent xmlns:mc="http://schemas.openxmlformats.org/markup-compatibility/2006">
      <mc:Choice xmlns:tsle="http://schemas.microsoft.com/office/drawing/2012/timeslicer" Requires="tsle">
        <xdr:graphicFrame macro="">
          <xdr:nvGraphicFramePr>
            <xdr:cNvPr id="18" name="Date 1">
              <a:extLst>
                <a:ext uri="{FF2B5EF4-FFF2-40B4-BE49-F238E27FC236}">
                  <a16:creationId xmlns:a16="http://schemas.microsoft.com/office/drawing/2014/main" id="{B3DC85DD-8571-41A0-B6C2-2953F1C1129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6476999" y="101599"/>
              <a:ext cx="6103939" cy="930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Dharmale" refreshedDate="46037.651750115743" createdVersion="8" refreshedVersion="8" minRefreshableVersion="3" recordCount="144" xr:uid="{98F20AA3-0F9E-4329-BB19-689A607BC511}">
  <cacheSource type="worksheet">
    <worksheetSource name="Table1"/>
  </cacheSource>
  <cacheFields count="10">
    <cacheField name="S.N"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fieldGroup par="9"/>
    </cacheField>
    <cacheField name="Item" numFmtId="0">
      <sharedItems count="6">
        <s v="Mouse"/>
        <s v="Keyboard"/>
        <s v="RAM"/>
        <s v="SSD"/>
        <s v="Mic"/>
        <s v="M/B"/>
      </sharedItems>
    </cacheField>
    <cacheField name="Qty" numFmtId="0">
      <sharedItems containsSemiMixedTypes="0" containsString="0" containsNumber="1" containsInteger="1" minValue="4" maxValue="16"/>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 name="Days (Date)" numFmtId="0" databaseField="0">
      <fieldGroup base="3">
        <rangePr groupBy="days" startDate="2025-01-01T00:00:00" endDate="2025-04-0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4-2025"/>
        </groupItems>
      </fieldGroup>
    </cacheField>
    <cacheField name="Months (Date)" numFmtId="0" databaseField="0">
      <fieldGroup base="3">
        <rangePr groupBy="months" startDate="2025-01-01T00:00:00" endDate="2025-04-06T00:00:00"/>
        <groupItems count="14">
          <s v="&lt;01-01-2025"/>
          <s v="Jan"/>
          <s v="Feb"/>
          <s v="Mar"/>
          <s v="Apr"/>
          <s v="May"/>
          <s v="Jun"/>
          <s v="Jul"/>
          <s v="Aug"/>
          <s v="Sep"/>
          <s v="Oct"/>
          <s v="Nov"/>
          <s v="Dec"/>
          <s v="&gt;06-04-2025"/>
        </groupItems>
      </fieldGroup>
    </cacheField>
  </cacheFields>
  <extLst>
    <ext xmlns:x14="http://schemas.microsoft.com/office/spreadsheetml/2009/9/main" uri="{725AE2AE-9491-48be-B2B4-4EB974FC3084}">
      <x14:pivotCacheDefinition pivotCacheId="1897947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x v="0"/>
    <x v="0"/>
    <x v="0"/>
    <x v="0"/>
    <n v="4"/>
    <n v="150"/>
    <n v="600"/>
  </r>
  <r>
    <n v="2"/>
    <x v="0"/>
    <x v="0"/>
    <x v="0"/>
    <x v="1"/>
    <n v="9"/>
    <n v="350"/>
    <n v="3150"/>
  </r>
  <r>
    <n v="3"/>
    <x v="0"/>
    <x v="0"/>
    <x v="0"/>
    <x v="2"/>
    <n v="4"/>
    <n v="1800"/>
    <n v="7200"/>
  </r>
  <r>
    <n v="4"/>
    <x v="0"/>
    <x v="0"/>
    <x v="0"/>
    <x v="3"/>
    <n v="16"/>
    <n v="2300"/>
    <n v="36800"/>
  </r>
  <r>
    <n v="5"/>
    <x v="0"/>
    <x v="0"/>
    <x v="0"/>
    <x v="4"/>
    <n v="13"/>
    <n v="4000"/>
    <n v="52000"/>
  </r>
  <r>
    <n v="6"/>
    <x v="0"/>
    <x v="0"/>
    <x v="0"/>
    <x v="5"/>
    <n v="9"/>
    <n v="8000"/>
    <n v="72000"/>
  </r>
  <r>
    <n v="7"/>
    <x v="1"/>
    <x v="1"/>
    <x v="1"/>
    <x v="0"/>
    <n v="14"/>
    <n v="150"/>
    <n v="2100"/>
  </r>
  <r>
    <n v="8"/>
    <x v="2"/>
    <x v="1"/>
    <x v="1"/>
    <x v="0"/>
    <n v="13"/>
    <n v="150"/>
    <n v="1950"/>
  </r>
  <r>
    <n v="9"/>
    <x v="1"/>
    <x v="1"/>
    <x v="1"/>
    <x v="1"/>
    <n v="14"/>
    <n v="350"/>
    <n v="4900"/>
  </r>
  <r>
    <n v="10"/>
    <x v="2"/>
    <x v="1"/>
    <x v="1"/>
    <x v="1"/>
    <n v="11"/>
    <n v="350"/>
    <n v="3850"/>
  </r>
  <r>
    <n v="11"/>
    <x v="1"/>
    <x v="1"/>
    <x v="1"/>
    <x v="2"/>
    <n v="15"/>
    <n v="1800"/>
    <n v="27000"/>
  </r>
  <r>
    <n v="12"/>
    <x v="2"/>
    <x v="1"/>
    <x v="1"/>
    <x v="2"/>
    <n v="7"/>
    <n v="1800"/>
    <n v="12600"/>
  </r>
  <r>
    <n v="13"/>
    <x v="1"/>
    <x v="1"/>
    <x v="1"/>
    <x v="3"/>
    <n v="7"/>
    <n v="2300"/>
    <n v="16100"/>
  </r>
  <r>
    <n v="14"/>
    <x v="2"/>
    <x v="1"/>
    <x v="1"/>
    <x v="3"/>
    <n v="13"/>
    <n v="2300"/>
    <n v="29900"/>
  </r>
  <r>
    <n v="15"/>
    <x v="1"/>
    <x v="1"/>
    <x v="1"/>
    <x v="4"/>
    <n v="10"/>
    <n v="4000"/>
    <n v="40000"/>
  </r>
  <r>
    <n v="16"/>
    <x v="2"/>
    <x v="1"/>
    <x v="1"/>
    <x v="4"/>
    <n v="4"/>
    <n v="4000"/>
    <n v="16000"/>
  </r>
  <r>
    <n v="17"/>
    <x v="2"/>
    <x v="1"/>
    <x v="1"/>
    <x v="5"/>
    <n v="13"/>
    <n v="8000"/>
    <n v="104000"/>
  </r>
  <r>
    <n v="18"/>
    <x v="1"/>
    <x v="1"/>
    <x v="1"/>
    <x v="5"/>
    <n v="12"/>
    <n v="8000"/>
    <n v="96000"/>
  </r>
  <r>
    <n v="19"/>
    <x v="3"/>
    <x v="2"/>
    <x v="2"/>
    <x v="0"/>
    <n v="4"/>
    <n v="150"/>
    <n v="600"/>
  </r>
  <r>
    <n v="20"/>
    <x v="3"/>
    <x v="2"/>
    <x v="2"/>
    <x v="1"/>
    <n v="12"/>
    <n v="350"/>
    <n v="4200"/>
  </r>
  <r>
    <n v="21"/>
    <x v="3"/>
    <x v="2"/>
    <x v="2"/>
    <x v="2"/>
    <n v="5"/>
    <n v="1800"/>
    <n v="9000"/>
  </r>
  <r>
    <n v="22"/>
    <x v="3"/>
    <x v="2"/>
    <x v="2"/>
    <x v="3"/>
    <n v="10"/>
    <n v="2300"/>
    <n v="23000"/>
  </r>
  <r>
    <n v="23"/>
    <x v="3"/>
    <x v="2"/>
    <x v="2"/>
    <x v="4"/>
    <n v="10"/>
    <n v="4000"/>
    <n v="40000"/>
  </r>
  <r>
    <n v="24"/>
    <x v="3"/>
    <x v="2"/>
    <x v="2"/>
    <x v="5"/>
    <n v="10"/>
    <n v="8000"/>
    <n v="80000"/>
  </r>
  <r>
    <n v="25"/>
    <x v="4"/>
    <x v="0"/>
    <x v="3"/>
    <x v="0"/>
    <n v="11"/>
    <n v="150"/>
    <n v="1650"/>
  </r>
  <r>
    <n v="26"/>
    <x v="4"/>
    <x v="0"/>
    <x v="3"/>
    <x v="1"/>
    <n v="5"/>
    <n v="350"/>
    <n v="1750"/>
  </r>
  <r>
    <n v="27"/>
    <x v="4"/>
    <x v="0"/>
    <x v="3"/>
    <x v="2"/>
    <n v="14"/>
    <n v="1800"/>
    <n v="25200"/>
  </r>
  <r>
    <n v="28"/>
    <x v="4"/>
    <x v="0"/>
    <x v="3"/>
    <x v="3"/>
    <n v="6"/>
    <n v="2300"/>
    <n v="13800"/>
  </r>
  <r>
    <n v="29"/>
    <x v="4"/>
    <x v="0"/>
    <x v="3"/>
    <x v="4"/>
    <n v="14"/>
    <n v="4000"/>
    <n v="56000"/>
  </r>
  <r>
    <n v="30"/>
    <x v="4"/>
    <x v="0"/>
    <x v="3"/>
    <x v="5"/>
    <n v="14"/>
    <n v="8000"/>
    <n v="112000"/>
  </r>
  <r>
    <n v="31"/>
    <x v="5"/>
    <x v="2"/>
    <x v="4"/>
    <x v="0"/>
    <n v="9"/>
    <n v="150"/>
    <n v="1350"/>
  </r>
  <r>
    <n v="32"/>
    <x v="5"/>
    <x v="2"/>
    <x v="4"/>
    <x v="1"/>
    <n v="7"/>
    <n v="350"/>
    <n v="2450"/>
  </r>
  <r>
    <n v="33"/>
    <x v="5"/>
    <x v="2"/>
    <x v="4"/>
    <x v="2"/>
    <n v="7"/>
    <n v="1800"/>
    <n v="12600"/>
  </r>
  <r>
    <n v="34"/>
    <x v="5"/>
    <x v="2"/>
    <x v="4"/>
    <x v="3"/>
    <n v="16"/>
    <n v="2300"/>
    <n v="36800"/>
  </r>
  <r>
    <n v="35"/>
    <x v="5"/>
    <x v="2"/>
    <x v="4"/>
    <x v="4"/>
    <n v="5"/>
    <n v="4000"/>
    <n v="20000"/>
  </r>
  <r>
    <n v="36"/>
    <x v="5"/>
    <x v="2"/>
    <x v="4"/>
    <x v="5"/>
    <n v="6"/>
    <n v="8000"/>
    <n v="48000"/>
  </r>
  <r>
    <n v="37"/>
    <x v="0"/>
    <x v="0"/>
    <x v="5"/>
    <x v="0"/>
    <n v="12"/>
    <n v="150"/>
    <n v="1800"/>
  </r>
  <r>
    <n v="38"/>
    <x v="0"/>
    <x v="0"/>
    <x v="5"/>
    <x v="1"/>
    <n v="4"/>
    <n v="350"/>
    <n v="1400"/>
  </r>
  <r>
    <n v="39"/>
    <x v="0"/>
    <x v="0"/>
    <x v="5"/>
    <x v="2"/>
    <n v="10"/>
    <n v="1800"/>
    <n v="18000"/>
  </r>
  <r>
    <n v="40"/>
    <x v="0"/>
    <x v="0"/>
    <x v="5"/>
    <x v="3"/>
    <n v="11"/>
    <n v="2300"/>
    <n v="25300"/>
  </r>
  <r>
    <n v="41"/>
    <x v="0"/>
    <x v="0"/>
    <x v="5"/>
    <x v="4"/>
    <n v="12"/>
    <n v="4000"/>
    <n v="48000"/>
  </r>
  <r>
    <n v="42"/>
    <x v="0"/>
    <x v="0"/>
    <x v="5"/>
    <x v="5"/>
    <n v="11"/>
    <n v="8000"/>
    <n v="88000"/>
  </r>
  <r>
    <n v="43"/>
    <x v="1"/>
    <x v="1"/>
    <x v="6"/>
    <x v="0"/>
    <n v="8"/>
    <n v="150"/>
    <n v="1200"/>
  </r>
  <r>
    <n v="44"/>
    <x v="2"/>
    <x v="1"/>
    <x v="6"/>
    <x v="0"/>
    <n v="12"/>
    <n v="150"/>
    <n v="1800"/>
  </r>
  <r>
    <n v="45"/>
    <x v="1"/>
    <x v="1"/>
    <x v="6"/>
    <x v="1"/>
    <n v="4"/>
    <n v="350"/>
    <n v="1400"/>
  </r>
  <r>
    <n v="46"/>
    <x v="2"/>
    <x v="1"/>
    <x v="6"/>
    <x v="1"/>
    <n v="16"/>
    <n v="350"/>
    <n v="5600"/>
  </r>
  <r>
    <n v="47"/>
    <x v="1"/>
    <x v="1"/>
    <x v="6"/>
    <x v="2"/>
    <n v="8"/>
    <n v="1800"/>
    <n v="14400"/>
  </r>
  <r>
    <n v="48"/>
    <x v="2"/>
    <x v="1"/>
    <x v="6"/>
    <x v="2"/>
    <n v="4"/>
    <n v="1800"/>
    <n v="7200"/>
  </r>
  <r>
    <n v="49"/>
    <x v="1"/>
    <x v="1"/>
    <x v="6"/>
    <x v="3"/>
    <n v="6"/>
    <n v="2300"/>
    <n v="13800"/>
  </r>
  <r>
    <n v="50"/>
    <x v="2"/>
    <x v="1"/>
    <x v="6"/>
    <x v="3"/>
    <n v="10"/>
    <n v="2300"/>
    <n v="23000"/>
  </r>
  <r>
    <n v="51"/>
    <x v="1"/>
    <x v="1"/>
    <x v="6"/>
    <x v="4"/>
    <n v="13"/>
    <n v="4000"/>
    <n v="52000"/>
  </r>
  <r>
    <n v="52"/>
    <x v="2"/>
    <x v="1"/>
    <x v="6"/>
    <x v="4"/>
    <n v="4"/>
    <n v="4000"/>
    <n v="16000"/>
  </r>
  <r>
    <n v="53"/>
    <x v="2"/>
    <x v="1"/>
    <x v="6"/>
    <x v="5"/>
    <n v="5"/>
    <n v="8000"/>
    <n v="40000"/>
  </r>
  <r>
    <n v="54"/>
    <x v="1"/>
    <x v="1"/>
    <x v="6"/>
    <x v="5"/>
    <n v="6"/>
    <n v="8000"/>
    <n v="48000"/>
  </r>
  <r>
    <n v="55"/>
    <x v="3"/>
    <x v="2"/>
    <x v="7"/>
    <x v="0"/>
    <n v="11"/>
    <n v="150"/>
    <n v="1650"/>
  </r>
  <r>
    <n v="56"/>
    <x v="3"/>
    <x v="2"/>
    <x v="7"/>
    <x v="1"/>
    <n v="12"/>
    <n v="350"/>
    <n v="4200"/>
  </r>
  <r>
    <n v="57"/>
    <x v="3"/>
    <x v="2"/>
    <x v="7"/>
    <x v="2"/>
    <n v="15"/>
    <n v="1800"/>
    <n v="27000"/>
  </r>
  <r>
    <n v="58"/>
    <x v="3"/>
    <x v="2"/>
    <x v="7"/>
    <x v="3"/>
    <n v="5"/>
    <n v="2300"/>
    <n v="11500"/>
  </r>
  <r>
    <n v="59"/>
    <x v="3"/>
    <x v="2"/>
    <x v="7"/>
    <x v="4"/>
    <n v="5"/>
    <n v="4000"/>
    <n v="20000"/>
  </r>
  <r>
    <n v="60"/>
    <x v="3"/>
    <x v="2"/>
    <x v="7"/>
    <x v="5"/>
    <n v="5"/>
    <n v="8000"/>
    <n v="40000"/>
  </r>
  <r>
    <n v="61"/>
    <x v="4"/>
    <x v="0"/>
    <x v="8"/>
    <x v="0"/>
    <n v="5"/>
    <n v="150"/>
    <n v="750"/>
  </r>
  <r>
    <n v="62"/>
    <x v="4"/>
    <x v="0"/>
    <x v="8"/>
    <x v="1"/>
    <n v="14"/>
    <n v="350"/>
    <n v="4900"/>
  </r>
  <r>
    <n v="63"/>
    <x v="4"/>
    <x v="0"/>
    <x v="8"/>
    <x v="2"/>
    <n v="15"/>
    <n v="1800"/>
    <n v="27000"/>
  </r>
  <r>
    <n v="64"/>
    <x v="4"/>
    <x v="0"/>
    <x v="8"/>
    <x v="3"/>
    <n v="4"/>
    <n v="2300"/>
    <n v="9200"/>
  </r>
  <r>
    <n v="65"/>
    <x v="4"/>
    <x v="0"/>
    <x v="8"/>
    <x v="4"/>
    <n v="7"/>
    <n v="4000"/>
    <n v="28000"/>
  </r>
  <r>
    <n v="66"/>
    <x v="4"/>
    <x v="0"/>
    <x v="8"/>
    <x v="5"/>
    <n v="16"/>
    <n v="8000"/>
    <n v="128000"/>
  </r>
  <r>
    <n v="67"/>
    <x v="5"/>
    <x v="2"/>
    <x v="9"/>
    <x v="0"/>
    <n v="10"/>
    <n v="150"/>
    <n v="1500"/>
  </r>
  <r>
    <n v="68"/>
    <x v="5"/>
    <x v="2"/>
    <x v="9"/>
    <x v="1"/>
    <n v="10"/>
    <n v="350"/>
    <n v="3500"/>
  </r>
  <r>
    <n v="69"/>
    <x v="5"/>
    <x v="2"/>
    <x v="9"/>
    <x v="2"/>
    <n v="12"/>
    <n v="1800"/>
    <n v="21600"/>
  </r>
  <r>
    <n v="70"/>
    <x v="5"/>
    <x v="2"/>
    <x v="9"/>
    <x v="3"/>
    <n v="8"/>
    <n v="2300"/>
    <n v="18400"/>
  </r>
  <r>
    <n v="71"/>
    <x v="5"/>
    <x v="2"/>
    <x v="9"/>
    <x v="4"/>
    <n v="11"/>
    <n v="4000"/>
    <n v="44000"/>
  </r>
  <r>
    <n v="72"/>
    <x v="5"/>
    <x v="2"/>
    <x v="9"/>
    <x v="5"/>
    <n v="16"/>
    <n v="8000"/>
    <n v="128000"/>
  </r>
  <r>
    <n v="73"/>
    <x v="0"/>
    <x v="0"/>
    <x v="10"/>
    <x v="0"/>
    <n v="5"/>
    <n v="150"/>
    <n v="750"/>
  </r>
  <r>
    <n v="74"/>
    <x v="0"/>
    <x v="0"/>
    <x v="10"/>
    <x v="1"/>
    <n v="12"/>
    <n v="350"/>
    <n v="4200"/>
  </r>
  <r>
    <n v="75"/>
    <x v="0"/>
    <x v="0"/>
    <x v="10"/>
    <x v="2"/>
    <n v="14"/>
    <n v="1800"/>
    <n v="25200"/>
  </r>
  <r>
    <n v="76"/>
    <x v="0"/>
    <x v="0"/>
    <x v="10"/>
    <x v="3"/>
    <n v="8"/>
    <n v="2300"/>
    <n v="18400"/>
  </r>
  <r>
    <n v="77"/>
    <x v="0"/>
    <x v="0"/>
    <x v="10"/>
    <x v="4"/>
    <n v="16"/>
    <n v="4000"/>
    <n v="64000"/>
  </r>
  <r>
    <n v="78"/>
    <x v="0"/>
    <x v="0"/>
    <x v="10"/>
    <x v="5"/>
    <n v="15"/>
    <n v="8000"/>
    <n v="120000"/>
  </r>
  <r>
    <n v="79"/>
    <x v="1"/>
    <x v="1"/>
    <x v="11"/>
    <x v="0"/>
    <n v="4"/>
    <n v="150"/>
    <n v="600"/>
  </r>
  <r>
    <n v="80"/>
    <x v="2"/>
    <x v="1"/>
    <x v="11"/>
    <x v="0"/>
    <n v="4"/>
    <n v="150"/>
    <n v="600"/>
  </r>
  <r>
    <n v="81"/>
    <x v="1"/>
    <x v="1"/>
    <x v="11"/>
    <x v="1"/>
    <n v="12"/>
    <n v="350"/>
    <n v="4200"/>
  </r>
  <r>
    <n v="82"/>
    <x v="2"/>
    <x v="1"/>
    <x v="11"/>
    <x v="1"/>
    <n v="4"/>
    <n v="350"/>
    <n v="1400"/>
  </r>
  <r>
    <n v="83"/>
    <x v="1"/>
    <x v="1"/>
    <x v="11"/>
    <x v="2"/>
    <n v="5"/>
    <n v="1800"/>
    <n v="9000"/>
  </r>
  <r>
    <n v="84"/>
    <x v="2"/>
    <x v="1"/>
    <x v="11"/>
    <x v="2"/>
    <n v="5"/>
    <n v="1800"/>
    <n v="9000"/>
  </r>
  <r>
    <n v="85"/>
    <x v="1"/>
    <x v="1"/>
    <x v="11"/>
    <x v="3"/>
    <n v="15"/>
    <n v="2300"/>
    <n v="34500"/>
  </r>
  <r>
    <n v="86"/>
    <x v="2"/>
    <x v="1"/>
    <x v="11"/>
    <x v="3"/>
    <n v="11"/>
    <n v="2300"/>
    <n v="25300"/>
  </r>
  <r>
    <n v="87"/>
    <x v="1"/>
    <x v="1"/>
    <x v="11"/>
    <x v="4"/>
    <n v="8"/>
    <n v="4000"/>
    <n v="32000"/>
  </r>
  <r>
    <n v="88"/>
    <x v="2"/>
    <x v="1"/>
    <x v="11"/>
    <x v="4"/>
    <n v="15"/>
    <n v="4000"/>
    <n v="60000"/>
  </r>
  <r>
    <n v="89"/>
    <x v="2"/>
    <x v="1"/>
    <x v="11"/>
    <x v="5"/>
    <n v="6"/>
    <n v="8000"/>
    <n v="48000"/>
  </r>
  <r>
    <n v="90"/>
    <x v="1"/>
    <x v="1"/>
    <x v="11"/>
    <x v="5"/>
    <n v="8"/>
    <n v="8000"/>
    <n v="64000"/>
  </r>
  <r>
    <n v="91"/>
    <x v="3"/>
    <x v="2"/>
    <x v="12"/>
    <x v="0"/>
    <n v="5"/>
    <n v="150"/>
    <n v="750"/>
  </r>
  <r>
    <n v="92"/>
    <x v="3"/>
    <x v="2"/>
    <x v="12"/>
    <x v="1"/>
    <n v="6"/>
    <n v="350"/>
    <n v="2100"/>
  </r>
  <r>
    <n v="93"/>
    <x v="3"/>
    <x v="2"/>
    <x v="12"/>
    <x v="2"/>
    <n v="12"/>
    <n v="1800"/>
    <n v="21600"/>
  </r>
  <r>
    <n v="94"/>
    <x v="3"/>
    <x v="2"/>
    <x v="12"/>
    <x v="3"/>
    <n v="6"/>
    <n v="2300"/>
    <n v="13800"/>
  </r>
  <r>
    <n v="95"/>
    <x v="3"/>
    <x v="2"/>
    <x v="12"/>
    <x v="4"/>
    <n v="8"/>
    <n v="4000"/>
    <n v="32000"/>
  </r>
  <r>
    <n v="96"/>
    <x v="3"/>
    <x v="2"/>
    <x v="12"/>
    <x v="5"/>
    <n v="15"/>
    <n v="8000"/>
    <n v="120000"/>
  </r>
  <r>
    <n v="97"/>
    <x v="4"/>
    <x v="0"/>
    <x v="13"/>
    <x v="0"/>
    <n v="10"/>
    <n v="150"/>
    <n v="1500"/>
  </r>
  <r>
    <n v="98"/>
    <x v="4"/>
    <x v="0"/>
    <x v="13"/>
    <x v="1"/>
    <n v="9"/>
    <n v="350"/>
    <n v="3150"/>
  </r>
  <r>
    <n v="99"/>
    <x v="4"/>
    <x v="0"/>
    <x v="13"/>
    <x v="2"/>
    <n v="9"/>
    <n v="1800"/>
    <n v="16200"/>
  </r>
  <r>
    <n v="100"/>
    <x v="4"/>
    <x v="0"/>
    <x v="13"/>
    <x v="3"/>
    <n v="16"/>
    <n v="2300"/>
    <n v="36800"/>
  </r>
  <r>
    <n v="101"/>
    <x v="4"/>
    <x v="0"/>
    <x v="13"/>
    <x v="4"/>
    <n v="11"/>
    <n v="4000"/>
    <n v="44000"/>
  </r>
  <r>
    <n v="102"/>
    <x v="4"/>
    <x v="0"/>
    <x v="13"/>
    <x v="5"/>
    <n v="8"/>
    <n v="8000"/>
    <n v="64000"/>
  </r>
  <r>
    <n v="103"/>
    <x v="5"/>
    <x v="2"/>
    <x v="14"/>
    <x v="0"/>
    <n v="11"/>
    <n v="150"/>
    <n v="1650"/>
  </r>
  <r>
    <n v="104"/>
    <x v="5"/>
    <x v="2"/>
    <x v="14"/>
    <x v="1"/>
    <n v="4"/>
    <n v="350"/>
    <n v="1400"/>
  </r>
  <r>
    <n v="105"/>
    <x v="5"/>
    <x v="2"/>
    <x v="14"/>
    <x v="2"/>
    <n v="15"/>
    <n v="1800"/>
    <n v="27000"/>
  </r>
  <r>
    <n v="106"/>
    <x v="5"/>
    <x v="2"/>
    <x v="14"/>
    <x v="3"/>
    <n v="11"/>
    <n v="2300"/>
    <n v="25300"/>
  </r>
  <r>
    <n v="107"/>
    <x v="5"/>
    <x v="2"/>
    <x v="14"/>
    <x v="4"/>
    <n v="14"/>
    <n v="4000"/>
    <n v="56000"/>
  </r>
  <r>
    <n v="108"/>
    <x v="5"/>
    <x v="2"/>
    <x v="14"/>
    <x v="5"/>
    <n v="15"/>
    <n v="8000"/>
    <n v="120000"/>
  </r>
  <r>
    <n v="109"/>
    <x v="0"/>
    <x v="0"/>
    <x v="15"/>
    <x v="0"/>
    <n v="4"/>
    <n v="150"/>
    <n v="600"/>
  </r>
  <r>
    <n v="110"/>
    <x v="0"/>
    <x v="0"/>
    <x v="15"/>
    <x v="1"/>
    <n v="7"/>
    <n v="350"/>
    <n v="2450"/>
  </r>
  <r>
    <n v="111"/>
    <x v="0"/>
    <x v="0"/>
    <x v="15"/>
    <x v="2"/>
    <n v="12"/>
    <n v="1800"/>
    <n v="21600"/>
  </r>
  <r>
    <n v="112"/>
    <x v="0"/>
    <x v="0"/>
    <x v="15"/>
    <x v="3"/>
    <n v="15"/>
    <n v="2300"/>
    <n v="34500"/>
  </r>
  <r>
    <n v="113"/>
    <x v="0"/>
    <x v="0"/>
    <x v="15"/>
    <x v="4"/>
    <n v="12"/>
    <n v="4000"/>
    <n v="48000"/>
  </r>
  <r>
    <n v="114"/>
    <x v="0"/>
    <x v="0"/>
    <x v="15"/>
    <x v="5"/>
    <n v="10"/>
    <n v="8000"/>
    <n v="80000"/>
  </r>
  <r>
    <n v="115"/>
    <x v="1"/>
    <x v="1"/>
    <x v="16"/>
    <x v="0"/>
    <n v="14"/>
    <n v="150"/>
    <n v="2100"/>
  </r>
  <r>
    <n v="116"/>
    <x v="2"/>
    <x v="1"/>
    <x v="16"/>
    <x v="0"/>
    <n v="11"/>
    <n v="150"/>
    <n v="1650"/>
  </r>
  <r>
    <n v="117"/>
    <x v="1"/>
    <x v="1"/>
    <x v="16"/>
    <x v="1"/>
    <n v="9"/>
    <n v="350"/>
    <n v="3150"/>
  </r>
  <r>
    <n v="118"/>
    <x v="2"/>
    <x v="1"/>
    <x v="16"/>
    <x v="1"/>
    <n v="4"/>
    <n v="350"/>
    <n v="1400"/>
  </r>
  <r>
    <n v="119"/>
    <x v="1"/>
    <x v="1"/>
    <x v="16"/>
    <x v="2"/>
    <n v="15"/>
    <n v="1800"/>
    <n v="27000"/>
  </r>
  <r>
    <n v="120"/>
    <x v="2"/>
    <x v="1"/>
    <x v="16"/>
    <x v="2"/>
    <n v="16"/>
    <n v="1800"/>
    <n v="28800"/>
  </r>
  <r>
    <n v="121"/>
    <x v="1"/>
    <x v="1"/>
    <x v="16"/>
    <x v="3"/>
    <n v="14"/>
    <n v="2300"/>
    <n v="32200"/>
  </r>
  <r>
    <n v="122"/>
    <x v="2"/>
    <x v="1"/>
    <x v="16"/>
    <x v="3"/>
    <n v="14"/>
    <n v="2300"/>
    <n v="32200"/>
  </r>
  <r>
    <n v="123"/>
    <x v="1"/>
    <x v="1"/>
    <x v="16"/>
    <x v="4"/>
    <n v="9"/>
    <n v="4000"/>
    <n v="36000"/>
  </r>
  <r>
    <n v="124"/>
    <x v="2"/>
    <x v="1"/>
    <x v="16"/>
    <x v="4"/>
    <n v="5"/>
    <n v="4000"/>
    <n v="20000"/>
  </r>
  <r>
    <n v="125"/>
    <x v="2"/>
    <x v="1"/>
    <x v="16"/>
    <x v="5"/>
    <n v="15"/>
    <n v="8000"/>
    <n v="120000"/>
  </r>
  <r>
    <n v="126"/>
    <x v="1"/>
    <x v="1"/>
    <x v="16"/>
    <x v="5"/>
    <n v="4"/>
    <n v="8000"/>
    <n v="32000"/>
  </r>
  <r>
    <n v="127"/>
    <x v="3"/>
    <x v="2"/>
    <x v="17"/>
    <x v="0"/>
    <n v="9"/>
    <n v="150"/>
    <n v="1350"/>
  </r>
  <r>
    <n v="128"/>
    <x v="3"/>
    <x v="2"/>
    <x v="17"/>
    <x v="1"/>
    <n v="8"/>
    <n v="350"/>
    <n v="2800"/>
  </r>
  <r>
    <n v="129"/>
    <x v="3"/>
    <x v="2"/>
    <x v="17"/>
    <x v="2"/>
    <n v="6"/>
    <n v="1800"/>
    <n v="10800"/>
  </r>
  <r>
    <n v="130"/>
    <x v="3"/>
    <x v="2"/>
    <x v="17"/>
    <x v="3"/>
    <n v="12"/>
    <n v="2300"/>
    <n v="27600"/>
  </r>
  <r>
    <n v="131"/>
    <x v="3"/>
    <x v="2"/>
    <x v="17"/>
    <x v="4"/>
    <n v="9"/>
    <n v="4000"/>
    <n v="36000"/>
  </r>
  <r>
    <n v="132"/>
    <x v="3"/>
    <x v="2"/>
    <x v="17"/>
    <x v="5"/>
    <n v="7"/>
    <n v="8000"/>
    <n v="56000"/>
  </r>
  <r>
    <n v="133"/>
    <x v="4"/>
    <x v="0"/>
    <x v="18"/>
    <x v="0"/>
    <n v="15"/>
    <n v="150"/>
    <n v="2250"/>
  </r>
  <r>
    <n v="134"/>
    <x v="4"/>
    <x v="0"/>
    <x v="18"/>
    <x v="1"/>
    <n v="13"/>
    <n v="350"/>
    <n v="4550"/>
  </r>
  <r>
    <n v="135"/>
    <x v="4"/>
    <x v="0"/>
    <x v="18"/>
    <x v="2"/>
    <n v="10"/>
    <n v="1800"/>
    <n v="18000"/>
  </r>
  <r>
    <n v="136"/>
    <x v="4"/>
    <x v="0"/>
    <x v="18"/>
    <x v="3"/>
    <n v="15"/>
    <n v="2300"/>
    <n v="34500"/>
  </r>
  <r>
    <n v="137"/>
    <x v="4"/>
    <x v="0"/>
    <x v="18"/>
    <x v="4"/>
    <n v="16"/>
    <n v="4000"/>
    <n v="64000"/>
  </r>
  <r>
    <n v="138"/>
    <x v="4"/>
    <x v="0"/>
    <x v="18"/>
    <x v="5"/>
    <n v="9"/>
    <n v="8000"/>
    <n v="72000"/>
  </r>
  <r>
    <n v="139"/>
    <x v="5"/>
    <x v="2"/>
    <x v="19"/>
    <x v="0"/>
    <n v="13"/>
    <n v="150"/>
    <n v="1950"/>
  </r>
  <r>
    <n v="140"/>
    <x v="5"/>
    <x v="2"/>
    <x v="19"/>
    <x v="1"/>
    <n v="11"/>
    <n v="350"/>
    <n v="3850"/>
  </r>
  <r>
    <n v="141"/>
    <x v="5"/>
    <x v="2"/>
    <x v="19"/>
    <x v="2"/>
    <n v="13"/>
    <n v="1800"/>
    <n v="23400"/>
  </r>
  <r>
    <n v="142"/>
    <x v="5"/>
    <x v="2"/>
    <x v="19"/>
    <x v="3"/>
    <n v="14"/>
    <n v="2300"/>
    <n v="32200"/>
  </r>
  <r>
    <n v="143"/>
    <x v="5"/>
    <x v="2"/>
    <x v="19"/>
    <x v="4"/>
    <n v="13"/>
    <n v="4000"/>
    <n v="52000"/>
  </r>
  <r>
    <n v="144"/>
    <x v="5"/>
    <x v="2"/>
    <x v="19"/>
    <x v="5"/>
    <n v="9"/>
    <n v="8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4F81FF-B720-43F7-BA4A-DD4A39B19C14}" name="PivotTable6"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G13:H20" firstHeaderRow="1" firstDataRow="1" firstDataCol="1"/>
  <pivotFields count="10">
    <pivotField showAll="0"/>
    <pivotField axis="axisRow" showAll="0">
      <items count="7">
        <item x="5"/>
        <item x="1"/>
        <item x="4"/>
        <item x="3"/>
        <item x="2"/>
        <item x="0"/>
        <item t="default"/>
      </items>
    </pivotField>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Items count="1">
    <i/>
  </colItems>
  <dataFields count="1">
    <dataField name="Sum of Total" fld="7"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8CB57C-747B-4173-9509-F6F63A91AC48}"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3:H10" firstHeaderRow="1" firstDataRow="1" firstDataCol="1"/>
  <pivotFields count="10">
    <pivotField showAll="0"/>
    <pivotField showAll="0">
      <items count="7">
        <item x="5"/>
        <item x="1"/>
        <item x="4"/>
        <item x="3"/>
        <item x="2"/>
        <item x="0"/>
        <item t="default"/>
      </items>
    </pivotField>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7">
        <item x="1"/>
        <item x="5"/>
        <item x="4"/>
        <item x="0"/>
        <item x="2"/>
        <item x="3"/>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7"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DA18AB-3118-4B30-BEB8-2A8F51CD77A7}"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0:D11" firstHeaderRow="1" firstDataRow="1" firstDataCol="0"/>
  <pivotFields count="10">
    <pivotField showAll="0"/>
    <pivotField showAll="0"/>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36D8CC-4485-4802-8877-41A070D9185E}"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B18" firstHeaderRow="1" firstDataRow="1" firstDataCol="1"/>
  <pivotFields count="10">
    <pivotField showAll="0"/>
    <pivotField showAll="0"/>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7">
        <item x="1"/>
        <item x="5"/>
        <item x="4"/>
        <item x="0"/>
        <item x="2"/>
        <item x="3"/>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7">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4" count="1" selected="0">
            <x v="0"/>
          </reference>
        </references>
      </pivotArea>
    </chartFormat>
    <chartFormat chart="10" format="10">
      <pivotArea type="data" outline="0" fieldPosition="0">
        <references count="2">
          <reference field="4294967294" count="1" selected="0">
            <x v="0"/>
          </reference>
          <reference field="4" count="1" selected="0">
            <x v="1"/>
          </reference>
        </references>
      </pivotArea>
    </chartFormat>
    <chartFormat chart="10" format="11">
      <pivotArea type="data" outline="0" fieldPosition="0">
        <references count="2">
          <reference field="4294967294" count="1" selected="0">
            <x v="0"/>
          </reference>
          <reference field="4" count="1" selected="0">
            <x v="2"/>
          </reference>
        </references>
      </pivotArea>
    </chartFormat>
    <chartFormat chart="10" format="12">
      <pivotArea type="data" outline="0" fieldPosition="0">
        <references count="2">
          <reference field="4294967294" count="1" selected="0">
            <x v="0"/>
          </reference>
          <reference field="4" count="1" selected="0">
            <x v="3"/>
          </reference>
        </references>
      </pivotArea>
    </chartFormat>
    <chartFormat chart="10" format="13">
      <pivotArea type="data" outline="0" fieldPosition="0">
        <references count="2">
          <reference field="4294967294" count="1" selected="0">
            <x v="0"/>
          </reference>
          <reference field="4" count="1" selected="0">
            <x v="4"/>
          </reference>
        </references>
      </pivotArea>
    </chartFormat>
    <chartFormat chart="10"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7764EE-E7CB-4BCC-98CA-3D1AC4421D9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7" firstHeaderRow="1" firstDataRow="1" firstDataCol="1"/>
  <pivotFields count="10">
    <pivotField showAll="0"/>
    <pivotField showAll="0"/>
    <pivotField axis="axisRow"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Total" fld="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D1E1A6-8474-4728-A356-BF288FAADCF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showAll="0"/>
    <pivotField showAll="0"/>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1">
    <field x="9"/>
  </rowFields>
  <rowItems count="5">
    <i>
      <x v="1"/>
    </i>
    <i>
      <x v="2"/>
    </i>
    <i>
      <x v="3"/>
    </i>
    <i>
      <x v="4"/>
    </i>
    <i t="grand">
      <x/>
    </i>
  </rowItems>
  <colItems count="1">
    <i/>
  </colItems>
  <dataFields count="1">
    <dataField name="Sum of Total" fld="7"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DF0AC6A-C68C-4441-AA7F-2A86465D1E85}" sourceName="City">
  <pivotTables>
    <pivotTable tabId="2" name="PivotTable5"/>
    <pivotTable tabId="2" name="PivotTable6"/>
  </pivotTables>
  <data>
    <tabular pivotCacheId="189794798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0A0B1F9-86F2-4D26-863C-2A47A843C637}" sourceName="Item">
  <pivotTables>
    <pivotTable tabId="2" name="PivotTable5"/>
    <pivotTable tabId="2" name="PivotTable6"/>
  </pivotTables>
  <data>
    <tabular pivotCacheId="1897947981">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E013E6AE-51B9-4387-9673-4430D6E7F435}" sourceName="Seller">
  <pivotTables>
    <pivotTable tabId="2" name="PivotTable5"/>
    <pivotTable tabId="2" name="PivotTable6"/>
  </pivotTables>
  <data>
    <tabular pivotCacheId="1897947981">
      <items count="6">
        <i x="5" s="1"/>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0EF4C43-CCEA-40BB-B397-0DE3920DADE5}" cache="Slicer_City" caption="City" rowHeight="241300"/>
  <slicer name="Item" xr10:uid="{82AE77B5-4010-487F-B366-D05FE5100655}" cache="Slicer_Item" caption="Ite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9241F57-534D-4BEF-A4B2-C7CDBA8D456D}" cache="Slicer_City" caption="City" rowHeight="241300"/>
  <slicer name="Item 1" xr10:uid="{634A81C8-2DF6-4BCD-A506-05A9894E0DF8}" cache="Slicer_Item" caption="Item" rowHeight="241300"/>
  <slicer name="Seller" xr10:uid="{5A195D19-0D25-49C1-AB18-28A2E382BE94}" cache="Slicer_Seller" caption="Seller" columnCoun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52FA74-52E6-49F2-9DA4-FD89D1F2F397}" name="Table1" displayName="Table1" ref="A1:H145" totalsRowShown="0" headerRowDxfId="0">
  <autoFilter ref="A1:H145" xr:uid="{6C52FA74-52E6-49F2-9DA4-FD89D1F2F397}"/>
  <tableColumns count="8">
    <tableColumn id="1" xr3:uid="{4915E47C-192B-4CA4-9C25-B569A672F6C8}" name="S.N"/>
    <tableColumn id="2" xr3:uid="{60FDFBEC-6F5B-4148-A585-CA1F6A66981F}" name="Seller"/>
    <tableColumn id="3" xr3:uid="{E7898D41-418D-4D7D-933D-6CE6516CD45C}" name="City"/>
    <tableColumn id="4" xr3:uid="{A5C7ED76-25EE-4DD5-82A2-B66A4F078EA1}" name="Date" dataDxfId="1"/>
    <tableColumn id="5" xr3:uid="{BB340424-868F-40BB-8A49-E1F66956A48C}" name="Item"/>
    <tableColumn id="6" xr3:uid="{341C2515-4773-49E1-B7FB-88B57AD8CA15}" name="Qty"/>
    <tableColumn id="7" xr3:uid="{1496F314-7CEB-4786-AC2E-BC931B13249B}" name="Rate"/>
    <tableColumn id="8" xr3:uid="{785A5CEF-28D9-4813-9E98-D35E53FE64C3}" name="Tot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6548C0D-5B89-4075-BE2F-89A746259536}" sourceName="Date">
  <pivotTables>
    <pivotTable tabId="2" name="PivotTable5"/>
    <pivotTable tabId="2" name="PivotTable6"/>
  </pivotTables>
  <state minimalRefreshVersion="6" lastRefreshVersion="6" pivotCacheId="189794798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974FC82-DA66-4C62-8220-6D8A519B2200}" cache="NativeTimeline_Date" caption="Date" showSelectionLabel="0" showTimeLevel="0" showHorizontalScrollbar="0"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7643DB0-1223-4EB9-91B7-A95C524FDBB9}" cache="NativeTimeline_Date" caption="Date"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ED9F-5EE7-41D9-8D04-F9AA38F1F97B}">
  <dimension ref="A1:H145"/>
  <sheetViews>
    <sheetView tabSelected="1" workbookViewId="0">
      <selection activeCell="D9" sqref="D9"/>
    </sheetView>
  </sheetViews>
  <sheetFormatPr defaultRowHeight="14.5" x14ac:dyDescent="0.35"/>
  <cols>
    <col min="2" max="2" width="18.1796875" bestFit="1" customWidth="1"/>
    <col min="4" max="4" width="10.26953125" customWidth="1"/>
  </cols>
  <sheetData>
    <row r="1" spans="1:8" x14ac:dyDescent="0.35">
      <c r="A1" s="2" t="s">
        <v>0</v>
      </c>
      <c r="B1" s="2" t="s">
        <v>1</v>
      </c>
      <c r="C1" s="2" t="s">
        <v>2</v>
      </c>
      <c r="D1" s="2" t="s">
        <v>3</v>
      </c>
      <c r="E1" s="2" t="s">
        <v>4</v>
      </c>
      <c r="F1" s="2" t="s">
        <v>5</v>
      </c>
      <c r="G1" s="2" t="s">
        <v>6</v>
      </c>
      <c r="H1" s="2" t="s">
        <v>7</v>
      </c>
    </row>
    <row r="2" spans="1:8" x14ac:dyDescent="0.35">
      <c r="A2" s="1">
        <v>1</v>
      </c>
      <c r="B2" s="1" t="s">
        <v>8</v>
      </c>
      <c r="C2" s="1" t="s">
        <v>9</v>
      </c>
      <c r="D2" s="3">
        <v>45658</v>
      </c>
      <c r="E2" s="1" t="s">
        <v>10</v>
      </c>
      <c r="F2" s="1">
        <v>4</v>
      </c>
      <c r="G2" s="1">
        <v>150</v>
      </c>
      <c r="H2" s="1">
        <v>600</v>
      </c>
    </row>
    <row r="3" spans="1:8" x14ac:dyDescent="0.35">
      <c r="A3" s="1">
        <v>2</v>
      </c>
      <c r="B3" s="1" t="s">
        <v>8</v>
      </c>
      <c r="C3" s="1" t="s">
        <v>9</v>
      </c>
      <c r="D3" s="3">
        <v>45658</v>
      </c>
      <c r="E3" s="1" t="s">
        <v>11</v>
      </c>
      <c r="F3" s="1">
        <v>9</v>
      </c>
      <c r="G3" s="1">
        <v>350</v>
      </c>
      <c r="H3" s="1">
        <v>3150</v>
      </c>
    </row>
    <row r="4" spans="1:8" x14ac:dyDescent="0.35">
      <c r="A4" s="1">
        <v>3</v>
      </c>
      <c r="B4" s="1" t="s">
        <v>8</v>
      </c>
      <c r="C4" s="1" t="s">
        <v>9</v>
      </c>
      <c r="D4" s="3">
        <v>45658</v>
      </c>
      <c r="E4" s="1" t="s">
        <v>12</v>
      </c>
      <c r="F4" s="1">
        <v>4</v>
      </c>
      <c r="G4" s="1">
        <v>1800</v>
      </c>
      <c r="H4" s="1">
        <v>7200</v>
      </c>
    </row>
    <row r="5" spans="1:8" x14ac:dyDescent="0.35">
      <c r="A5" s="1">
        <v>4</v>
      </c>
      <c r="B5" s="1" t="s">
        <v>8</v>
      </c>
      <c r="C5" s="1" t="s">
        <v>9</v>
      </c>
      <c r="D5" s="3">
        <v>45658</v>
      </c>
      <c r="E5" s="1" t="s">
        <v>13</v>
      </c>
      <c r="F5" s="1">
        <v>16</v>
      </c>
      <c r="G5" s="1">
        <v>2300</v>
      </c>
      <c r="H5" s="1">
        <v>36800</v>
      </c>
    </row>
    <row r="6" spans="1:8" x14ac:dyDescent="0.35">
      <c r="A6" s="1">
        <v>5</v>
      </c>
      <c r="B6" s="1" t="s">
        <v>8</v>
      </c>
      <c r="C6" s="1" t="s">
        <v>9</v>
      </c>
      <c r="D6" s="3">
        <v>45658</v>
      </c>
      <c r="E6" s="1" t="s">
        <v>14</v>
      </c>
      <c r="F6" s="1">
        <v>13</v>
      </c>
      <c r="G6" s="1">
        <v>4000</v>
      </c>
      <c r="H6" s="1">
        <v>52000</v>
      </c>
    </row>
    <row r="7" spans="1:8" x14ac:dyDescent="0.35">
      <c r="A7" s="1">
        <v>6</v>
      </c>
      <c r="B7" s="1" t="s">
        <v>8</v>
      </c>
      <c r="C7" s="1" t="s">
        <v>9</v>
      </c>
      <c r="D7" s="3">
        <v>45658</v>
      </c>
      <c r="E7" s="1" t="s">
        <v>15</v>
      </c>
      <c r="F7" s="1">
        <v>9</v>
      </c>
      <c r="G7" s="1">
        <v>8000</v>
      </c>
      <c r="H7" s="1">
        <v>72000</v>
      </c>
    </row>
    <row r="8" spans="1:8" x14ac:dyDescent="0.35">
      <c r="A8" s="1">
        <v>7</v>
      </c>
      <c r="B8" s="1" t="s">
        <v>16</v>
      </c>
      <c r="C8" s="1" t="s">
        <v>17</v>
      </c>
      <c r="D8" s="3">
        <v>45659</v>
      </c>
      <c r="E8" s="1" t="s">
        <v>10</v>
      </c>
      <c r="F8" s="1">
        <v>14</v>
      </c>
      <c r="G8" s="1">
        <v>150</v>
      </c>
      <c r="H8" s="1">
        <v>2100</v>
      </c>
    </row>
    <row r="9" spans="1:8" x14ac:dyDescent="0.35">
      <c r="A9" s="1">
        <v>8</v>
      </c>
      <c r="B9" s="1" t="s">
        <v>18</v>
      </c>
      <c r="C9" s="1" t="s">
        <v>17</v>
      </c>
      <c r="D9" s="3">
        <v>45659</v>
      </c>
      <c r="E9" s="1" t="s">
        <v>10</v>
      </c>
      <c r="F9" s="1">
        <v>13</v>
      </c>
      <c r="G9" s="1">
        <v>150</v>
      </c>
      <c r="H9" s="1">
        <v>1950</v>
      </c>
    </row>
    <row r="10" spans="1:8" x14ac:dyDescent="0.35">
      <c r="A10" s="1">
        <v>9</v>
      </c>
      <c r="B10" s="1" t="s">
        <v>16</v>
      </c>
      <c r="C10" s="1" t="s">
        <v>17</v>
      </c>
      <c r="D10" s="3">
        <v>45659</v>
      </c>
      <c r="E10" s="1" t="s">
        <v>11</v>
      </c>
      <c r="F10" s="1">
        <v>14</v>
      </c>
      <c r="G10" s="1">
        <v>350</v>
      </c>
      <c r="H10" s="1">
        <v>4900</v>
      </c>
    </row>
    <row r="11" spans="1:8" x14ac:dyDescent="0.35">
      <c r="A11" s="1">
        <v>10</v>
      </c>
      <c r="B11" s="1" t="s">
        <v>18</v>
      </c>
      <c r="C11" s="1" t="s">
        <v>17</v>
      </c>
      <c r="D11" s="3">
        <v>45659</v>
      </c>
      <c r="E11" s="1" t="s">
        <v>11</v>
      </c>
      <c r="F11" s="1">
        <v>11</v>
      </c>
      <c r="G11" s="1">
        <v>350</v>
      </c>
      <c r="H11" s="1">
        <v>3850</v>
      </c>
    </row>
    <row r="12" spans="1:8" x14ac:dyDescent="0.35">
      <c r="A12" s="1">
        <v>11</v>
      </c>
      <c r="B12" s="1" t="s">
        <v>16</v>
      </c>
      <c r="C12" s="1" t="s">
        <v>17</v>
      </c>
      <c r="D12" s="3">
        <v>45659</v>
      </c>
      <c r="E12" s="1" t="s">
        <v>12</v>
      </c>
      <c r="F12" s="1">
        <v>15</v>
      </c>
      <c r="G12" s="1">
        <v>1800</v>
      </c>
      <c r="H12" s="1">
        <v>27000</v>
      </c>
    </row>
    <row r="13" spans="1:8" x14ac:dyDescent="0.35">
      <c r="A13" s="1">
        <v>12</v>
      </c>
      <c r="B13" s="1" t="s">
        <v>18</v>
      </c>
      <c r="C13" s="1" t="s">
        <v>17</v>
      </c>
      <c r="D13" s="3">
        <v>45659</v>
      </c>
      <c r="E13" s="1" t="s">
        <v>12</v>
      </c>
      <c r="F13" s="1">
        <v>7</v>
      </c>
      <c r="G13" s="1">
        <v>1800</v>
      </c>
      <c r="H13" s="1">
        <v>12600</v>
      </c>
    </row>
    <row r="14" spans="1:8" x14ac:dyDescent="0.35">
      <c r="A14" s="1">
        <v>13</v>
      </c>
      <c r="B14" s="1" t="s">
        <v>16</v>
      </c>
      <c r="C14" s="1" t="s">
        <v>17</v>
      </c>
      <c r="D14" s="3">
        <v>45659</v>
      </c>
      <c r="E14" s="1" t="s">
        <v>13</v>
      </c>
      <c r="F14" s="1">
        <v>7</v>
      </c>
      <c r="G14" s="1">
        <v>2300</v>
      </c>
      <c r="H14" s="1">
        <v>16100</v>
      </c>
    </row>
    <row r="15" spans="1:8" x14ac:dyDescent="0.35">
      <c r="A15" s="1">
        <v>14</v>
      </c>
      <c r="B15" s="1" t="s">
        <v>18</v>
      </c>
      <c r="C15" s="1" t="s">
        <v>17</v>
      </c>
      <c r="D15" s="3">
        <v>45659</v>
      </c>
      <c r="E15" s="1" t="s">
        <v>13</v>
      </c>
      <c r="F15" s="1">
        <v>13</v>
      </c>
      <c r="G15" s="1">
        <v>2300</v>
      </c>
      <c r="H15" s="1">
        <v>29900</v>
      </c>
    </row>
    <row r="16" spans="1:8" x14ac:dyDescent="0.35">
      <c r="A16" s="1">
        <v>15</v>
      </c>
      <c r="B16" s="1" t="s">
        <v>16</v>
      </c>
      <c r="C16" s="1" t="s">
        <v>17</v>
      </c>
      <c r="D16" s="3">
        <v>45659</v>
      </c>
      <c r="E16" s="1" t="s">
        <v>14</v>
      </c>
      <c r="F16" s="1">
        <v>10</v>
      </c>
      <c r="G16" s="1">
        <v>4000</v>
      </c>
      <c r="H16" s="1">
        <v>40000</v>
      </c>
    </row>
    <row r="17" spans="1:8" x14ac:dyDescent="0.35">
      <c r="A17" s="1">
        <v>16</v>
      </c>
      <c r="B17" s="1" t="s">
        <v>18</v>
      </c>
      <c r="C17" s="1" t="s">
        <v>17</v>
      </c>
      <c r="D17" s="3">
        <v>45659</v>
      </c>
      <c r="E17" s="1" t="s">
        <v>14</v>
      </c>
      <c r="F17" s="1">
        <v>4</v>
      </c>
      <c r="G17" s="1">
        <v>4000</v>
      </c>
      <c r="H17" s="1">
        <v>16000</v>
      </c>
    </row>
    <row r="18" spans="1:8" x14ac:dyDescent="0.35">
      <c r="A18" s="1">
        <v>17</v>
      </c>
      <c r="B18" s="1" t="s">
        <v>18</v>
      </c>
      <c r="C18" s="1" t="s">
        <v>17</v>
      </c>
      <c r="D18" s="3">
        <v>45659</v>
      </c>
      <c r="E18" s="1" t="s">
        <v>15</v>
      </c>
      <c r="F18" s="1">
        <v>13</v>
      </c>
      <c r="G18" s="1">
        <v>8000</v>
      </c>
      <c r="H18" s="1">
        <v>104000</v>
      </c>
    </row>
    <row r="19" spans="1:8" x14ac:dyDescent="0.35">
      <c r="A19" s="1">
        <v>18</v>
      </c>
      <c r="B19" s="1" t="s">
        <v>16</v>
      </c>
      <c r="C19" s="1" t="s">
        <v>17</v>
      </c>
      <c r="D19" s="3">
        <v>45659</v>
      </c>
      <c r="E19" s="1" t="s">
        <v>15</v>
      </c>
      <c r="F19" s="1">
        <v>12</v>
      </c>
      <c r="G19" s="1">
        <v>8000</v>
      </c>
      <c r="H19" s="1">
        <v>96000</v>
      </c>
    </row>
    <row r="20" spans="1:8" x14ac:dyDescent="0.35">
      <c r="A20" s="1">
        <v>19</v>
      </c>
      <c r="B20" s="1" t="s">
        <v>19</v>
      </c>
      <c r="C20" s="1" t="s">
        <v>20</v>
      </c>
      <c r="D20" s="3">
        <v>45660</v>
      </c>
      <c r="E20" s="1" t="s">
        <v>10</v>
      </c>
      <c r="F20" s="1">
        <v>4</v>
      </c>
      <c r="G20" s="1">
        <v>150</v>
      </c>
      <c r="H20" s="1">
        <v>600</v>
      </c>
    </row>
    <row r="21" spans="1:8" x14ac:dyDescent="0.35">
      <c r="A21" s="1">
        <v>20</v>
      </c>
      <c r="B21" s="1" t="s">
        <v>19</v>
      </c>
      <c r="C21" s="1" t="s">
        <v>20</v>
      </c>
      <c r="D21" s="3">
        <v>45660</v>
      </c>
      <c r="E21" s="1" t="s">
        <v>11</v>
      </c>
      <c r="F21" s="1">
        <v>12</v>
      </c>
      <c r="G21" s="1">
        <v>350</v>
      </c>
      <c r="H21" s="1">
        <v>4200</v>
      </c>
    </row>
    <row r="22" spans="1:8" x14ac:dyDescent="0.35">
      <c r="A22" s="1">
        <v>21</v>
      </c>
      <c r="B22" s="1" t="s">
        <v>19</v>
      </c>
      <c r="C22" s="1" t="s">
        <v>20</v>
      </c>
      <c r="D22" s="3">
        <v>45660</v>
      </c>
      <c r="E22" s="1" t="s">
        <v>12</v>
      </c>
      <c r="F22" s="1">
        <v>5</v>
      </c>
      <c r="G22" s="1">
        <v>1800</v>
      </c>
      <c r="H22" s="1">
        <v>9000</v>
      </c>
    </row>
    <row r="23" spans="1:8" x14ac:dyDescent="0.35">
      <c r="A23" s="1">
        <v>22</v>
      </c>
      <c r="B23" s="1" t="s">
        <v>19</v>
      </c>
      <c r="C23" s="1" t="s">
        <v>20</v>
      </c>
      <c r="D23" s="3">
        <v>45660</v>
      </c>
      <c r="E23" s="1" t="s">
        <v>13</v>
      </c>
      <c r="F23" s="1">
        <v>10</v>
      </c>
      <c r="G23" s="1">
        <v>2300</v>
      </c>
      <c r="H23" s="1">
        <v>23000</v>
      </c>
    </row>
    <row r="24" spans="1:8" x14ac:dyDescent="0.35">
      <c r="A24" s="1">
        <v>23</v>
      </c>
      <c r="B24" s="1" t="s">
        <v>19</v>
      </c>
      <c r="C24" s="1" t="s">
        <v>20</v>
      </c>
      <c r="D24" s="3">
        <v>45660</v>
      </c>
      <c r="E24" s="1" t="s">
        <v>14</v>
      </c>
      <c r="F24" s="1">
        <v>10</v>
      </c>
      <c r="G24" s="1">
        <v>4000</v>
      </c>
      <c r="H24" s="1">
        <v>40000</v>
      </c>
    </row>
    <row r="25" spans="1:8" x14ac:dyDescent="0.35">
      <c r="A25" s="1">
        <v>24</v>
      </c>
      <c r="B25" s="1" t="s">
        <v>19</v>
      </c>
      <c r="C25" s="1" t="s">
        <v>20</v>
      </c>
      <c r="D25" s="3">
        <v>45660</v>
      </c>
      <c r="E25" s="1" t="s">
        <v>15</v>
      </c>
      <c r="F25" s="1">
        <v>10</v>
      </c>
      <c r="G25" s="1">
        <v>8000</v>
      </c>
      <c r="H25" s="1">
        <v>80000</v>
      </c>
    </row>
    <row r="26" spans="1:8" x14ac:dyDescent="0.35">
      <c r="A26" s="1">
        <v>25</v>
      </c>
      <c r="B26" s="1" t="s">
        <v>21</v>
      </c>
      <c r="C26" s="1" t="s">
        <v>9</v>
      </c>
      <c r="D26" s="3">
        <v>45661</v>
      </c>
      <c r="E26" s="1" t="s">
        <v>10</v>
      </c>
      <c r="F26" s="1">
        <v>11</v>
      </c>
      <c r="G26" s="1">
        <v>150</v>
      </c>
      <c r="H26" s="1">
        <v>1650</v>
      </c>
    </row>
    <row r="27" spans="1:8" x14ac:dyDescent="0.35">
      <c r="A27" s="1">
        <v>26</v>
      </c>
      <c r="B27" s="1" t="s">
        <v>21</v>
      </c>
      <c r="C27" s="1" t="s">
        <v>9</v>
      </c>
      <c r="D27" s="3">
        <v>45661</v>
      </c>
      <c r="E27" s="1" t="s">
        <v>11</v>
      </c>
      <c r="F27" s="1">
        <v>5</v>
      </c>
      <c r="G27" s="1">
        <v>350</v>
      </c>
      <c r="H27" s="1">
        <v>1750</v>
      </c>
    </row>
    <row r="28" spans="1:8" x14ac:dyDescent="0.35">
      <c r="A28" s="1">
        <v>27</v>
      </c>
      <c r="B28" s="1" t="s">
        <v>21</v>
      </c>
      <c r="C28" s="1" t="s">
        <v>9</v>
      </c>
      <c r="D28" s="3">
        <v>45661</v>
      </c>
      <c r="E28" s="1" t="s">
        <v>12</v>
      </c>
      <c r="F28" s="1">
        <v>14</v>
      </c>
      <c r="G28" s="1">
        <v>1800</v>
      </c>
      <c r="H28" s="1">
        <v>25200</v>
      </c>
    </row>
    <row r="29" spans="1:8" x14ac:dyDescent="0.35">
      <c r="A29" s="1">
        <v>28</v>
      </c>
      <c r="B29" s="1" t="s">
        <v>21</v>
      </c>
      <c r="C29" s="1" t="s">
        <v>9</v>
      </c>
      <c r="D29" s="3">
        <v>45661</v>
      </c>
      <c r="E29" s="1" t="s">
        <v>13</v>
      </c>
      <c r="F29" s="1">
        <v>6</v>
      </c>
      <c r="G29" s="1">
        <v>2300</v>
      </c>
      <c r="H29" s="1">
        <v>13800</v>
      </c>
    </row>
    <row r="30" spans="1:8" x14ac:dyDescent="0.35">
      <c r="A30" s="1">
        <v>29</v>
      </c>
      <c r="B30" s="1" t="s">
        <v>21</v>
      </c>
      <c r="C30" s="1" t="s">
        <v>9</v>
      </c>
      <c r="D30" s="3">
        <v>45661</v>
      </c>
      <c r="E30" s="1" t="s">
        <v>14</v>
      </c>
      <c r="F30" s="1">
        <v>14</v>
      </c>
      <c r="G30" s="1">
        <v>4000</v>
      </c>
      <c r="H30" s="1">
        <v>56000</v>
      </c>
    </row>
    <row r="31" spans="1:8" x14ac:dyDescent="0.35">
      <c r="A31" s="1">
        <v>30</v>
      </c>
      <c r="B31" s="1" t="s">
        <v>21</v>
      </c>
      <c r="C31" s="1" t="s">
        <v>9</v>
      </c>
      <c r="D31" s="3">
        <v>45661</v>
      </c>
      <c r="E31" s="1" t="s">
        <v>15</v>
      </c>
      <c r="F31" s="1">
        <v>14</v>
      </c>
      <c r="G31" s="1">
        <v>8000</v>
      </c>
      <c r="H31" s="1">
        <v>112000</v>
      </c>
    </row>
    <row r="32" spans="1:8" x14ac:dyDescent="0.35">
      <c r="A32" s="1">
        <v>31</v>
      </c>
      <c r="B32" s="1" t="s">
        <v>22</v>
      </c>
      <c r="C32" s="1" t="s">
        <v>20</v>
      </c>
      <c r="D32" s="3">
        <v>45662</v>
      </c>
      <c r="E32" s="1" t="s">
        <v>10</v>
      </c>
      <c r="F32" s="1">
        <v>9</v>
      </c>
      <c r="G32" s="1">
        <v>150</v>
      </c>
      <c r="H32" s="1">
        <v>1350</v>
      </c>
    </row>
    <row r="33" spans="1:8" x14ac:dyDescent="0.35">
      <c r="A33" s="1">
        <v>32</v>
      </c>
      <c r="B33" s="1" t="s">
        <v>22</v>
      </c>
      <c r="C33" s="1" t="s">
        <v>20</v>
      </c>
      <c r="D33" s="3">
        <v>45662</v>
      </c>
      <c r="E33" s="1" t="s">
        <v>11</v>
      </c>
      <c r="F33" s="1">
        <v>7</v>
      </c>
      <c r="G33" s="1">
        <v>350</v>
      </c>
      <c r="H33" s="1">
        <v>2450</v>
      </c>
    </row>
    <row r="34" spans="1:8" x14ac:dyDescent="0.35">
      <c r="A34" s="1">
        <v>33</v>
      </c>
      <c r="B34" s="1" t="s">
        <v>22</v>
      </c>
      <c r="C34" s="1" t="s">
        <v>20</v>
      </c>
      <c r="D34" s="3">
        <v>45662</v>
      </c>
      <c r="E34" s="1" t="s">
        <v>12</v>
      </c>
      <c r="F34" s="1">
        <v>7</v>
      </c>
      <c r="G34" s="1">
        <v>1800</v>
      </c>
      <c r="H34" s="1">
        <v>12600</v>
      </c>
    </row>
    <row r="35" spans="1:8" x14ac:dyDescent="0.35">
      <c r="A35" s="1">
        <v>34</v>
      </c>
      <c r="B35" s="1" t="s">
        <v>22</v>
      </c>
      <c r="C35" s="1" t="s">
        <v>20</v>
      </c>
      <c r="D35" s="3">
        <v>45662</v>
      </c>
      <c r="E35" s="1" t="s">
        <v>13</v>
      </c>
      <c r="F35" s="1">
        <v>16</v>
      </c>
      <c r="G35" s="1">
        <v>2300</v>
      </c>
      <c r="H35" s="1">
        <v>36800</v>
      </c>
    </row>
    <row r="36" spans="1:8" x14ac:dyDescent="0.35">
      <c r="A36" s="1">
        <v>35</v>
      </c>
      <c r="B36" s="1" t="s">
        <v>22</v>
      </c>
      <c r="C36" s="1" t="s">
        <v>20</v>
      </c>
      <c r="D36" s="3">
        <v>45662</v>
      </c>
      <c r="E36" s="1" t="s">
        <v>14</v>
      </c>
      <c r="F36" s="1">
        <v>5</v>
      </c>
      <c r="G36" s="1">
        <v>4000</v>
      </c>
      <c r="H36" s="1">
        <v>20000</v>
      </c>
    </row>
    <row r="37" spans="1:8" x14ac:dyDescent="0.35">
      <c r="A37" s="1">
        <v>36</v>
      </c>
      <c r="B37" s="1" t="s">
        <v>22</v>
      </c>
      <c r="C37" s="1" t="s">
        <v>20</v>
      </c>
      <c r="D37" s="3">
        <v>45662</v>
      </c>
      <c r="E37" s="1" t="s">
        <v>15</v>
      </c>
      <c r="F37" s="1">
        <v>6</v>
      </c>
      <c r="G37" s="1">
        <v>8000</v>
      </c>
      <c r="H37" s="1">
        <v>48000</v>
      </c>
    </row>
    <row r="38" spans="1:8" x14ac:dyDescent="0.35">
      <c r="A38" s="1">
        <v>37</v>
      </c>
      <c r="B38" s="1" t="s">
        <v>8</v>
      </c>
      <c r="C38" s="1" t="s">
        <v>9</v>
      </c>
      <c r="D38" s="3">
        <v>45689</v>
      </c>
      <c r="E38" s="1" t="s">
        <v>10</v>
      </c>
      <c r="F38" s="1">
        <v>12</v>
      </c>
      <c r="G38" s="1">
        <v>150</v>
      </c>
      <c r="H38" s="1">
        <v>1800</v>
      </c>
    </row>
    <row r="39" spans="1:8" x14ac:dyDescent="0.35">
      <c r="A39" s="1">
        <v>38</v>
      </c>
      <c r="B39" s="1" t="s">
        <v>8</v>
      </c>
      <c r="C39" s="1" t="s">
        <v>9</v>
      </c>
      <c r="D39" s="3">
        <v>45689</v>
      </c>
      <c r="E39" s="1" t="s">
        <v>11</v>
      </c>
      <c r="F39" s="1">
        <v>4</v>
      </c>
      <c r="G39" s="1">
        <v>350</v>
      </c>
      <c r="H39" s="1">
        <v>1400</v>
      </c>
    </row>
    <row r="40" spans="1:8" x14ac:dyDescent="0.35">
      <c r="A40" s="1">
        <v>39</v>
      </c>
      <c r="B40" s="1" t="s">
        <v>8</v>
      </c>
      <c r="C40" s="1" t="s">
        <v>9</v>
      </c>
      <c r="D40" s="3">
        <v>45689</v>
      </c>
      <c r="E40" s="1" t="s">
        <v>12</v>
      </c>
      <c r="F40" s="1">
        <v>10</v>
      </c>
      <c r="G40" s="1">
        <v>1800</v>
      </c>
      <c r="H40" s="1">
        <v>18000</v>
      </c>
    </row>
    <row r="41" spans="1:8" x14ac:dyDescent="0.35">
      <c r="A41" s="1">
        <v>40</v>
      </c>
      <c r="B41" s="1" t="s">
        <v>8</v>
      </c>
      <c r="C41" s="1" t="s">
        <v>9</v>
      </c>
      <c r="D41" s="3">
        <v>45689</v>
      </c>
      <c r="E41" s="1" t="s">
        <v>13</v>
      </c>
      <c r="F41" s="1">
        <v>11</v>
      </c>
      <c r="G41" s="1">
        <v>2300</v>
      </c>
      <c r="H41" s="1">
        <v>25300</v>
      </c>
    </row>
    <row r="42" spans="1:8" x14ac:dyDescent="0.35">
      <c r="A42" s="1">
        <v>41</v>
      </c>
      <c r="B42" s="1" t="s">
        <v>8</v>
      </c>
      <c r="C42" s="1" t="s">
        <v>9</v>
      </c>
      <c r="D42" s="3">
        <v>45689</v>
      </c>
      <c r="E42" s="1" t="s">
        <v>14</v>
      </c>
      <c r="F42" s="1">
        <v>12</v>
      </c>
      <c r="G42" s="1">
        <v>4000</v>
      </c>
      <c r="H42" s="1">
        <v>48000</v>
      </c>
    </row>
    <row r="43" spans="1:8" x14ac:dyDescent="0.35">
      <c r="A43" s="1">
        <v>42</v>
      </c>
      <c r="B43" s="1" t="s">
        <v>8</v>
      </c>
      <c r="C43" s="1" t="s">
        <v>9</v>
      </c>
      <c r="D43" s="3">
        <v>45689</v>
      </c>
      <c r="E43" s="1" t="s">
        <v>15</v>
      </c>
      <c r="F43" s="1">
        <v>11</v>
      </c>
      <c r="G43" s="1">
        <v>8000</v>
      </c>
      <c r="H43" s="1">
        <v>88000</v>
      </c>
    </row>
    <row r="44" spans="1:8" x14ac:dyDescent="0.35">
      <c r="A44" s="1">
        <v>43</v>
      </c>
      <c r="B44" s="1" t="s">
        <v>16</v>
      </c>
      <c r="C44" s="1" t="s">
        <v>17</v>
      </c>
      <c r="D44" s="3">
        <v>45690</v>
      </c>
      <c r="E44" s="1" t="s">
        <v>10</v>
      </c>
      <c r="F44" s="1">
        <v>8</v>
      </c>
      <c r="G44" s="1">
        <v>150</v>
      </c>
      <c r="H44" s="1">
        <v>1200</v>
      </c>
    </row>
    <row r="45" spans="1:8" x14ac:dyDescent="0.35">
      <c r="A45" s="1">
        <v>44</v>
      </c>
      <c r="B45" s="1" t="s">
        <v>18</v>
      </c>
      <c r="C45" s="1" t="s">
        <v>17</v>
      </c>
      <c r="D45" s="3">
        <v>45690</v>
      </c>
      <c r="E45" s="1" t="s">
        <v>10</v>
      </c>
      <c r="F45" s="1">
        <v>12</v>
      </c>
      <c r="G45" s="1">
        <v>150</v>
      </c>
      <c r="H45" s="1">
        <v>1800</v>
      </c>
    </row>
    <row r="46" spans="1:8" x14ac:dyDescent="0.35">
      <c r="A46" s="1">
        <v>45</v>
      </c>
      <c r="B46" s="1" t="s">
        <v>16</v>
      </c>
      <c r="C46" s="1" t="s">
        <v>17</v>
      </c>
      <c r="D46" s="3">
        <v>45690</v>
      </c>
      <c r="E46" s="1" t="s">
        <v>11</v>
      </c>
      <c r="F46" s="1">
        <v>4</v>
      </c>
      <c r="G46" s="1">
        <v>350</v>
      </c>
      <c r="H46" s="1">
        <v>1400</v>
      </c>
    </row>
    <row r="47" spans="1:8" x14ac:dyDescent="0.35">
      <c r="A47" s="1">
        <v>46</v>
      </c>
      <c r="B47" s="1" t="s">
        <v>18</v>
      </c>
      <c r="C47" s="1" t="s">
        <v>17</v>
      </c>
      <c r="D47" s="3">
        <v>45690</v>
      </c>
      <c r="E47" s="1" t="s">
        <v>11</v>
      </c>
      <c r="F47" s="1">
        <v>16</v>
      </c>
      <c r="G47" s="1">
        <v>350</v>
      </c>
      <c r="H47" s="1">
        <v>5600</v>
      </c>
    </row>
    <row r="48" spans="1:8" x14ac:dyDescent="0.35">
      <c r="A48" s="1">
        <v>47</v>
      </c>
      <c r="B48" s="1" t="s">
        <v>16</v>
      </c>
      <c r="C48" s="1" t="s">
        <v>17</v>
      </c>
      <c r="D48" s="3">
        <v>45690</v>
      </c>
      <c r="E48" s="1" t="s">
        <v>12</v>
      </c>
      <c r="F48" s="1">
        <v>8</v>
      </c>
      <c r="G48" s="1">
        <v>1800</v>
      </c>
      <c r="H48" s="1">
        <v>14400</v>
      </c>
    </row>
    <row r="49" spans="1:8" x14ac:dyDescent="0.35">
      <c r="A49" s="1">
        <v>48</v>
      </c>
      <c r="B49" s="1" t="s">
        <v>18</v>
      </c>
      <c r="C49" s="1" t="s">
        <v>17</v>
      </c>
      <c r="D49" s="3">
        <v>45690</v>
      </c>
      <c r="E49" s="1" t="s">
        <v>12</v>
      </c>
      <c r="F49" s="1">
        <v>4</v>
      </c>
      <c r="G49" s="1">
        <v>1800</v>
      </c>
      <c r="H49" s="1">
        <v>7200</v>
      </c>
    </row>
    <row r="50" spans="1:8" x14ac:dyDescent="0.35">
      <c r="A50" s="1">
        <v>49</v>
      </c>
      <c r="B50" s="1" t="s">
        <v>16</v>
      </c>
      <c r="C50" s="1" t="s">
        <v>17</v>
      </c>
      <c r="D50" s="3">
        <v>45690</v>
      </c>
      <c r="E50" s="1" t="s">
        <v>13</v>
      </c>
      <c r="F50" s="1">
        <v>6</v>
      </c>
      <c r="G50" s="1">
        <v>2300</v>
      </c>
      <c r="H50" s="1">
        <v>13800</v>
      </c>
    </row>
    <row r="51" spans="1:8" x14ac:dyDescent="0.35">
      <c r="A51" s="1">
        <v>50</v>
      </c>
      <c r="B51" s="1" t="s">
        <v>18</v>
      </c>
      <c r="C51" s="1" t="s">
        <v>17</v>
      </c>
      <c r="D51" s="3">
        <v>45690</v>
      </c>
      <c r="E51" s="1" t="s">
        <v>13</v>
      </c>
      <c r="F51" s="1">
        <v>10</v>
      </c>
      <c r="G51" s="1">
        <v>2300</v>
      </c>
      <c r="H51" s="1">
        <v>23000</v>
      </c>
    </row>
    <row r="52" spans="1:8" x14ac:dyDescent="0.35">
      <c r="A52" s="1">
        <v>51</v>
      </c>
      <c r="B52" s="1" t="s">
        <v>16</v>
      </c>
      <c r="C52" s="1" t="s">
        <v>17</v>
      </c>
      <c r="D52" s="3">
        <v>45690</v>
      </c>
      <c r="E52" s="1" t="s">
        <v>14</v>
      </c>
      <c r="F52" s="1">
        <v>13</v>
      </c>
      <c r="G52" s="1">
        <v>4000</v>
      </c>
      <c r="H52" s="1">
        <v>52000</v>
      </c>
    </row>
    <row r="53" spans="1:8" x14ac:dyDescent="0.35">
      <c r="A53" s="1">
        <v>52</v>
      </c>
      <c r="B53" s="1" t="s">
        <v>18</v>
      </c>
      <c r="C53" s="1" t="s">
        <v>17</v>
      </c>
      <c r="D53" s="3">
        <v>45690</v>
      </c>
      <c r="E53" s="1" t="s">
        <v>14</v>
      </c>
      <c r="F53" s="1">
        <v>4</v>
      </c>
      <c r="G53" s="1">
        <v>4000</v>
      </c>
      <c r="H53" s="1">
        <v>16000</v>
      </c>
    </row>
    <row r="54" spans="1:8" x14ac:dyDescent="0.35">
      <c r="A54" s="1">
        <v>53</v>
      </c>
      <c r="B54" s="1" t="s">
        <v>18</v>
      </c>
      <c r="C54" s="1" t="s">
        <v>17</v>
      </c>
      <c r="D54" s="3">
        <v>45690</v>
      </c>
      <c r="E54" s="1" t="s">
        <v>15</v>
      </c>
      <c r="F54" s="1">
        <v>5</v>
      </c>
      <c r="G54" s="1">
        <v>8000</v>
      </c>
      <c r="H54" s="1">
        <v>40000</v>
      </c>
    </row>
    <row r="55" spans="1:8" x14ac:dyDescent="0.35">
      <c r="A55" s="1">
        <v>54</v>
      </c>
      <c r="B55" s="1" t="s">
        <v>16</v>
      </c>
      <c r="C55" s="1" t="s">
        <v>17</v>
      </c>
      <c r="D55" s="3">
        <v>45690</v>
      </c>
      <c r="E55" s="1" t="s">
        <v>15</v>
      </c>
      <c r="F55" s="1">
        <v>6</v>
      </c>
      <c r="G55" s="1">
        <v>8000</v>
      </c>
      <c r="H55" s="1">
        <v>48000</v>
      </c>
    </row>
    <row r="56" spans="1:8" x14ac:dyDescent="0.35">
      <c r="A56" s="1">
        <v>55</v>
      </c>
      <c r="B56" s="1" t="s">
        <v>19</v>
      </c>
      <c r="C56" s="1" t="s">
        <v>20</v>
      </c>
      <c r="D56" s="3">
        <v>45691</v>
      </c>
      <c r="E56" s="1" t="s">
        <v>10</v>
      </c>
      <c r="F56" s="1">
        <v>11</v>
      </c>
      <c r="G56" s="1">
        <v>150</v>
      </c>
      <c r="H56" s="1">
        <v>1650</v>
      </c>
    </row>
    <row r="57" spans="1:8" x14ac:dyDescent="0.35">
      <c r="A57" s="1">
        <v>56</v>
      </c>
      <c r="B57" s="1" t="s">
        <v>19</v>
      </c>
      <c r="C57" s="1" t="s">
        <v>20</v>
      </c>
      <c r="D57" s="3">
        <v>45691</v>
      </c>
      <c r="E57" s="1" t="s">
        <v>11</v>
      </c>
      <c r="F57" s="1">
        <v>12</v>
      </c>
      <c r="G57" s="1">
        <v>350</v>
      </c>
      <c r="H57" s="1">
        <v>4200</v>
      </c>
    </row>
    <row r="58" spans="1:8" x14ac:dyDescent="0.35">
      <c r="A58" s="1">
        <v>57</v>
      </c>
      <c r="B58" s="1" t="s">
        <v>19</v>
      </c>
      <c r="C58" s="1" t="s">
        <v>20</v>
      </c>
      <c r="D58" s="3">
        <v>45691</v>
      </c>
      <c r="E58" s="1" t="s">
        <v>12</v>
      </c>
      <c r="F58" s="1">
        <v>15</v>
      </c>
      <c r="G58" s="1">
        <v>1800</v>
      </c>
      <c r="H58" s="1">
        <v>27000</v>
      </c>
    </row>
    <row r="59" spans="1:8" x14ac:dyDescent="0.35">
      <c r="A59" s="1">
        <v>58</v>
      </c>
      <c r="B59" s="1" t="s">
        <v>19</v>
      </c>
      <c r="C59" s="1" t="s">
        <v>20</v>
      </c>
      <c r="D59" s="3">
        <v>45691</v>
      </c>
      <c r="E59" s="1" t="s">
        <v>13</v>
      </c>
      <c r="F59" s="1">
        <v>5</v>
      </c>
      <c r="G59" s="1">
        <v>2300</v>
      </c>
      <c r="H59" s="1">
        <v>11500</v>
      </c>
    </row>
    <row r="60" spans="1:8" x14ac:dyDescent="0.35">
      <c r="A60" s="1">
        <v>59</v>
      </c>
      <c r="B60" s="1" t="s">
        <v>19</v>
      </c>
      <c r="C60" s="1" t="s">
        <v>20</v>
      </c>
      <c r="D60" s="3">
        <v>45691</v>
      </c>
      <c r="E60" s="1" t="s">
        <v>14</v>
      </c>
      <c r="F60" s="1">
        <v>5</v>
      </c>
      <c r="G60" s="1">
        <v>4000</v>
      </c>
      <c r="H60" s="1">
        <v>20000</v>
      </c>
    </row>
    <row r="61" spans="1:8" x14ac:dyDescent="0.35">
      <c r="A61" s="1">
        <v>60</v>
      </c>
      <c r="B61" s="1" t="s">
        <v>19</v>
      </c>
      <c r="C61" s="1" t="s">
        <v>20</v>
      </c>
      <c r="D61" s="3">
        <v>45691</v>
      </c>
      <c r="E61" s="1" t="s">
        <v>15</v>
      </c>
      <c r="F61" s="1">
        <v>5</v>
      </c>
      <c r="G61" s="1">
        <v>8000</v>
      </c>
      <c r="H61" s="1">
        <v>40000</v>
      </c>
    </row>
    <row r="62" spans="1:8" x14ac:dyDescent="0.35">
      <c r="A62" s="1">
        <v>61</v>
      </c>
      <c r="B62" s="1" t="s">
        <v>21</v>
      </c>
      <c r="C62" s="1" t="s">
        <v>9</v>
      </c>
      <c r="D62" s="3">
        <v>45692</v>
      </c>
      <c r="E62" s="1" t="s">
        <v>10</v>
      </c>
      <c r="F62" s="1">
        <v>5</v>
      </c>
      <c r="G62" s="1">
        <v>150</v>
      </c>
      <c r="H62" s="1">
        <v>750</v>
      </c>
    </row>
    <row r="63" spans="1:8" x14ac:dyDescent="0.35">
      <c r="A63" s="1">
        <v>62</v>
      </c>
      <c r="B63" s="1" t="s">
        <v>21</v>
      </c>
      <c r="C63" s="1" t="s">
        <v>9</v>
      </c>
      <c r="D63" s="3">
        <v>45692</v>
      </c>
      <c r="E63" s="1" t="s">
        <v>11</v>
      </c>
      <c r="F63" s="1">
        <v>14</v>
      </c>
      <c r="G63" s="1">
        <v>350</v>
      </c>
      <c r="H63" s="1">
        <v>4900</v>
      </c>
    </row>
    <row r="64" spans="1:8" x14ac:dyDescent="0.35">
      <c r="A64" s="1">
        <v>63</v>
      </c>
      <c r="B64" s="1" t="s">
        <v>21</v>
      </c>
      <c r="C64" s="1" t="s">
        <v>9</v>
      </c>
      <c r="D64" s="3">
        <v>45692</v>
      </c>
      <c r="E64" s="1" t="s">
        <v>12</v>
      </c>
      <c r="F64" s="1">
        <v>15</v>
      </c>
      <c r="G64" s="1">
        <v>1800</v>
      </c>
      <c r="H64" s="1">
        <v>27000</v>
      </c>
    </row>
    <row r="65" spans="1:8" x14ac:dyDescent="0.35">
      <c r="A65" s="1">
        <v>64</v>
      </c>
      <c r="B65" s="1" t="s">
        <v>21</v>
      </c>
      <c r="C65" s="1" t="s">
        <v>9</v>
      </c>
      <c r="D65" s="3">
        <v>45692</v>
      </c>
      <c r="E65" s="1" t="s">
        <v>13</v>
      </c>
      <c r="F65" s="1">
        <v>4</v>
      </c>
      <c r="G65" s="1">
        <v>2300</v>
      </c>
      <c r="H65" s="1">
        <v>9200</v>
      </c>
    </row>
    <row r="66" spans="1:8" x14ac:dyDescent="0.35">
      <c r="A66" s="1">
        <v>65</v>
      </c>
      <c r="B66" s="1" t="s">
        <v>21</v>
      </c>
      <c r="C66" s="1" t="s">
        <v>9</v>
      </c>
      <c r="D66" s="3">
        <v>45692</v>
      </c>
      <c r="E66" s="1" t="s">
        <v>14</v>
      </c>
      <c r="F66" s="1">
        <v>7</v>
      </c>
      <c r="G66" s="1">
        <v>4000</v>
      </c>
      <c r="H66" s="1">
        <v>28000</v>
      </c>
    </row>
    <row r="67" spans="1:8" x14ac:dyDescent="0.35">
      <c r="A67" s="1">
        <v>66</v>
      </c>
      <c r="B67" s="1" t="s">
        <v>21</v>
      </c>
      <c r="C67" s="1" t="s">
        <v>9</v>
      </c>
      <c r="D67" s="3">
        <v>45692</v>
      </c>
      <c r="E67" s="1" t="s">
        <v>15</v>
      </c>
      <c r="F67" s="1">
        <v>16</v>
      </c>
      <c r="G67" s="1">
        <v>8000</v>
      </c>
      <c r="H67" s="1">
        <v>128000</v>
      </c>
    </row>
    <row r="68" spans="1:8" x14ac:dyDescent="0.35">
      <c r="A68" s="1">
        <v>67</v>
      </c>
      <c r="B68" s="1" t="s">
        <v>22</v>
      </c>
      <c r="C68" s="1" t="s">
        <v>20</v>
      </c>
      <c r="D68" s="3">
        <v>45693</v>
      </c>
      <c r="E68" s="1" t="s">
        <v>10</v>
      </c>
      <c r="F68" s="1">
        <v>10</v>
      </c>
      <c r="G68" s="1">
        <v>150</v>
      </c>
      <c r="H68" s="1">
        <v>1500</v>
      </c>
    </row>
    <row r="69" spans="1:8" x14ac:dyDescent="0.35">
      <c r="A69" s="1">
        <v>68</v>
      </c>
      <c r="B69" s="1" t="s">
        <v>22</v>
      </c>
      <c r="C69" s="1" t="s">
        <v>20</v>
      </c>
      <c r="D69" s="3">
        <v>45693</v>
      </c>
      <c r="E69" s="1" t="s">
        <v>11</v>
      </c>
      <c r="F69" s="1">
        <v>10</v>
      </c>
      <c r="G69" s="1">
        <v>350</v>
      </c>
      <c r="H69" s="1">
        <v>3500</v>
      </c>
    </row>
    <row r="70" spans="1:8" x14ac:dyDescent="0.35">
      <c r="A70" s="1">
        <v>69</v>
      </c>
      <c r="B70" s="1" t="s">
        <v>22</v>
      </c>
      <c r="C70" s="1" t="s">
        <v>20</v>
      </c>
      <c r="D70" s="3">
        <v>45693</v>
      </c>
      <c r="E70" s="1" t="s">
        <v>12</v>
      </c>
      <c r="F70" s="1">
        <v>12</v>
      </c>
      <c r="G70" s="1">
        <v>1800</v>
      </c>
      <c r="H70" s="1">
        <v>21600</v>
      </c>
    </row>
    <row r="71" spans="1:8" x14ac:dyDescent="0.35">
      <c r="A71" s="1">
        <v>70</v>
      </c>
      <c r="B71" s="1" t="s">
        <v>22</v>
      </c>
      <c r="C71" s="1" t="s">
        <v>20</v>
      </c>
      <c r="D71" s="3">
        <v>45693</v>
      </c>
      <c r="E71" s="1" t="s">
        <v>13</v>
      </c>
      <c r="F71" s="1">
        <v>8</v>
      </c>
      <c r="G71" s="1">
        <v>2300</v>
      </c>
      <c r="H71" s="1">
        <v>18400</v>
      </c>
    </row>
    <row r="72" spans="1:8" x14ac:dyDescent="0.35">
      <c r="A72" s="1">
        <v>71</v>
      </c>
      <c r="B72" s="1" t="s">
        <v>22</v>
      </c>
      <c r="C72" s="1" t="s">
        <v>20</v>
      </c>
      <c r="D72" s="3">
        <v>45693</v>
      </c>
      <c r="E72" s="1" t="s">
        <v>14</v>
      </c>
      <c r="F72" s="1">
        <v>11</v>
      </c>
      <c r="G72" s="1">
        <v>4000</v>
      </c>
      <c r="H72" s="1">
        <v>44000</v>
      </c>
    </row>
    <row r="73" spans="1:8" x14ac:dyDescent="0.35">
      <c r="A73" s="1">
        <v>72</v>
      </c>
      <c r="B73" s="1" t="s">
        <v>22</v>
      </c>
      <c r="C73" s="1" t="s">
        <v>20</v>
      </c>
      <c r="D73" s="3">
        <v>45693</v>
      </c>
      <c r="E73" s="1" t="s">
        <v>15</v>
      </c>
      <c r="F73" s="1">
        <v>16</v>
      </c>
      <c r="G73" s="1">
        <v>8000</v>
      </c>
      <c r="H73" s="1">
        <v>128000</v>
      </c>
    </row>
    <row r="74" spans="1:8" x14ac:dyDescent="0.35">
      <c r="A74" s="1">
        <v>73</v>
      </c>
      <c r="B74" s="1" t="s">
        <v>8</v>
      </c>
      <c r="C74" s="1" t="s">
        <v>9</v>
      </c>
      <c r="D74" s="3">
        <v>45717</v>
      </c>
      <c r="E74" s="1" t="s">
        <v>10</v>
      </c>
      <c r="F74" s="1">
        <v>5</v>
      </c>
      <c r="G74" s="1">
        <v>150</v>
      </c>
      <c r="H74" s="1">
        <v>750</v>
      </c>
    </row>
    <row r="75" spans="1:8" x14ac:dyDescent="0.35">
      <c r="A75" s="1">
        <v>74</v>
      </c>
      <c r="B75" s="1" t="s">
        <v>8</v>
      </c>
      <c r="C75" s="1" t="s">
        <v>9</v>
      </c>
      <c r="D75" s="3">
        <v>45717</v>
      </c>
      <c r="E75" s="1" t="s">
        <v>11</v>
      </c>
      <c r="F75" s="1">
        <v>12</v>
      </c>
      <c r="G75" s="1">
        <v>350</v>
      </c>
      <c r="H75" s="1">
        <v>4200</v>
      </c>
    </row>
    <row r="76" spans="1:8" x14ac:dyDescent="0.35">
      <c r="A76" s="1">
        <v>75</v>
      </c>
      <c r="B76" s="1" t="s">
        <v>8</v>
      </c>
      <c r="C76" s="1" t="s">
        <v>9</v>
      </c>
      <c r="D76" s="3">
        <v>45717</v>
      </c>
      <c r="E76" s="1" t="s">
        <v>12</v>
      </c>
      <c r="F76" s="1">
        <v>14</v>
      </c>
      <c r="G76" s="1">
        <v>1800</v>
      </c>
      <c r="H76" s="1">
        <v>25200</v>
      </c>
    </row>
    <row r="77" spans="1:8" x14ac:dyDescent="0.35">
      <c r="A77" s="1">
        <v>76</v>
      </c>
      <c r="B77" s="1" t="s">
        <v>8</v>
      </c>
      <c r="C77" s="1" t="s">
        <v>9</v>
      </c>
      <c r="D77" s="3">
        <v>45717</v>
      </c>
      <c r="E77" s="1" t="s">
        <v>13</v>
      </c>
      <c r="F77" s="1">
        <v>8</v>
      </c>
      <c r="G77" s="1">
        <v>2300</v>
      </c>
      <c r="H77" s="1">
        <v>18400</v>
      </c>
    </row>
    <row r="78" spans="1:8" x14ac:dyDescent="0.35">
      <c r="A78" s="1">
        <v>77</v>
      </c>
      <c r="B78" s="1" t="s">
        <v>8</v>
      </c>
      <c r="C78" s="1" t="s">
        <v>9</v>
      </c>
      <c r="D78" s="3">
        <v>45717</v>
      </c>
      <c r="E78" s="1" t="s">
        <v>14</v>
      </c>
      <c r="F78" s="1">
        <v>16</v>
      </c>
      <c r="G78" s="1">
        <v>4000</v>
      </c>
      <c r="H78" s="1">
        <v>64000</v>
      </c>
    </row>
    <row r="79" spans="1:8" x14ac:dyDescent="0.35">
      <c r="A79" s="1">
        <v>78</v>
      </c>
      <c r="B79" s="1" t="s">
        <v>8</v>
      </c>
      <c r="C79" s="1" t="s">
        <v>9</v>
      </c>
      <c r="D79" s="3">
        <v>45717</v>
      </c>
      <c r="E79" s="1" t="s">
        <v>15</v>
      </c>
      <c r="F79" s="1">
        <v>15</v>
      </c>
      <c r="G79" s="1">
        <v>8000</v>
      </c>
      <c r="H79" s="1">
        <v>120000</v>
      </c>
    </row>
    <row r="80" spans="1:8" x14ac:dyDescent="0.35">
      <c r="A80" s="1">
        <v>79</v>
      </c>
      <c r="B80" s="1" t="s">
        <v>16</v>
      </c>
      <c r="C80" s="1" t="s">
        <v>17</v>
      </c>
      <c r="D80" s="3">
        <v>45718</v>
      </c>
      <c r="E80" s="1" t="s">
        <v>10</v>
      </c>
      <c r="F80" s="1">
        <v>4</v>
      </c>
      <c r="G80" s="1">
        <v>150</v>
      </c>
      <c r="H80" s="1">
        <v>600</v>
      </c>
    </row>
    <row r="81" spans="1:8" x14ac:dyDescent="0.35">
      <c r="A81" s="1">
        <v>80</v>
      </c>
      <c r="B81" s="1" t="s">
        <v>18</v>
      </c>
      <c r="C81" s="1" t="s">
        <v>17</v>
      </c>
      <c r="D81" s="3">
        <v>45718</v>
      </c>
      <c r="E81" s="1" t="s">
        <v>10</v>
      </c>
      <c r="F81" s="1">
        <v>4</v>
      </c>
      <c r="G81" s="1">
        <v>150</v>
      </c>
      <c r="H81" s="1">
        <v>600</v>
      </c>
    </row>
    <row r="82" spans="1:8" x14ac:dyDescent="0.35">
      <c r="A82" s="1">
        <v>81</v>
      </c>
      <c r="B82" s="1" t="s">
        <v>16</v>
      </c>
      <c r="C82" s="1" t="s">
        <v>17</v>
      </c>
      <c r="D82" s="3">
        <v>45718</v>
      </c>
      <c r="E82" s="1" t="s">
        <v>11</v>
      </c>
      <c r="F82" s="1">
        <v>12</v>
      </c>
      <c r="G82" s="1">
        <v>350</v>
      </c>
      <c r="H82" s="1">
        <v>4200</v>
      </c>
    </row>
    <row r="83" spans="1:8" x14ac:dyDescent="0.35">
      <c r="A83" s="1">
        <v>82</v>
      </c>
      <c r="B83" s="1" t="s">
        <v>18</v>
      </c>
      <c r="C83" s="1" t="s">
        <v>17</v>
      </c>
      <c r="D83" s="3">
        <v>45718</v>
      </c>
      <c r="E83" s="1" t="s">
        <v>11</v>
      </c>
      <c r="F83" s="1">
        <v>4</v>
      </c>
      <c r="G83" s="1">
        <v>350</v>
      </c>
      <c r="H83" s="1">
        <v>1400</v>
      </c>
    </row>
    <row r="84" spans="1:8" x14ac:dyDescent="0.35">
      <c r="A84" s="1">
        <v>83</v>
      </c>
      <c r="B84" s="1" t="s">
        <v>16</v>
      </c>
      <c r="C84" s="1" t="s">
        <v>17</v>
      </c>
      <c r="D84" s="3">
        <v>45718</v>
      </c>
      <c r="E84" s="1" t="s">
        <v>12</v>
      </c>
      <c r="F84" s="1">
        <v>5</v>
      </c>
      <c r="G84" s="1">
        <v>1800</v>
      </c>
      <c r="H84" s="1">
        <v>9000</v>
      </c>
    </row>
    <row r="85" spans="1:8" x14ac:dyDescent="0.35">
      <c r="A85" s="1">
        <v>84</v>
      </c>
      <c r="B85" s="1" t="s">
        <v>18</v>
      </c>
      <c r="C85" s="1" t="s">
        <v>17</v>
      </c>
      <c r="D85" s="3">
        <v>45718</v>
      </c>
      <c r="E85" s="1" t="s">
        <v>12</v>
      </c>
      <c r="F85" s="1">
        <v>5</v>
      </c>
      <c r="G85" s="1">
        <v>1800</v>
      </c>
      <c r="H85" s="1">
        <v>9000</v>
      </c>
    </row>
    <row r="86" spans="1:8" x14ac:dyDescent="0.35">
      <c r="A86" s="1">
        <v>85</v>
      </c>
      <c r="B86" s="1" t="s">
        <v>16</v>
      </c>
      <c r="C86" s="1" t="s">
        <v>17</v>
      </c>
      <c r="D86" s="3">
        <v>45718</v>
      </c>
      <c r="E86" s="1" t="s">
        <v>13</v>
      </c>
      <c r="F86" s="1">
        <v>15</v>
      </c>
      <c r="G86" s="1">
        <v>2300</v>
      </c>
      <c r="H86" s="1">
        <v>34500</v>
      </c>
    </row>
    <row r="87" spans="1:8" x14ac:dyDescent="0.35">
      <c r="A87" s="1">
        <v>86</v>
      </c>
      <c r="B87" s="1" t="s">
        <v>18</v>
      </c>
      <c r="C87" s="1" t="s">
        <v>17</v>
      </c>
      <c r="D87" s="3">
        <v>45718</v>
      </c>
      <c r="E87" s="1" t="s">
        <v>13</v>
      </c>
      <c r="F87" s="1">
        <v>11</v>
      </c>
      <c r="G87" s="1">
        <v>2300</v>
      </c>
      <c r="H87" s="1">
        <v>25300</v>
      </c>
    </row>
    <row r="88" spans="1:8" x14ac:dyDescent="0.35">
      <c r="A88" s="1">
        <v>87</v>
      </c>
      <c r="B88" s="1" t="s">
        <v>16</v>
      </c>
      <c r="C88" s="1" t="s">
        <v>17</v>
      </c>
      <c r="D88" s="3">
        <v>45718</v>
      </c>
      <c r="E88" s="1" t="s">
        <v>14</v>
      </c>
      <c r="F88" s="1">
        <v>8</v>
      </c>
      <c r="G88" s="1">
        <v>4000</v>
      </c>
      <c r="H88" s="1">
        <v>32000</v>
      </c>
    </row>
    <row r="89" spans="1:8" x14ac:dyDescent="0.35">
      <c r="A89" s="1">
        <v>88</v>
      </c>
      <c r="B89" s="1" t="s">
        <v>18</v>
      </c>
      <c r="C89" s="1" t="s">
        <v>17</v>
      </c>
      <c r="D89" s="3">
        <v>45718</v>
      </c>
      <c r="E89" s="1" t="s">
        <v>14</v>
      </c>
      <c r="F89" s="1">
        <v>15</v>
      </c>
      <c r="G89" s="1">
        <v>4000</v>
      </c>
      <c r="H89" s="1">
        <v>60000</v>
      </c>
    </row>
    <row r="90" spans="1:8" x14ac:dyDescent="0.35">
      <c r="A90" s="1">
        <v>89</v>
      </c>
      <c r="B90" s="1" t="s">
        <v>18</v>
      </c>
      <c r="C90" s="1" t="s">
        <v>17</v>
      </c>
      <c r="D90" s="3">
        <v>45718</v>
      </c>
      <c r="E90" s="1" t="s">
        <v>15</v>
      </c>
      <c r="F90" s="1">
        <v>6</v>
      </c>
      <c r="G90" s="1">
        <v>8000</v>
      </c>
      <c r="H90" s="1">
        <v>48000</v>
      </c>
    </row>
    <row r="91" spans="1:8" x14ac:dyDescent="0.35">
      <c r="A91" s="1">
        <v>90</v>
      </c>
      <c r="B91" s="1" t="s">
        <v>16</v>
      </c>
      <c r="C91" s="1" t="s">
        <v>17</v>
      </c>
      <c r="D91" s="3">
        <v>45718</v>
      </c>
      <c r="E91" s="1" t="s">
        <v>15</v>
      </c>
      <c r="F91" s="1">
        <v>8</v>
      </c>
      <c r="G91" s="1">
        <v>8000</v>
      </c>
      <c r="H91" s="1">
        <v>64000</v>
      </c>
    </row>
    <row r="92" spans="1:8" x14ac:dyDescent="0.35">
      <c r="A92" s="1">
        <v>91</v>
      </c>
      <c r="B92" s="1" t="s">
        <v>19</v>
      </c>
      <c r="C92" s="1" t="s">
        <v>20</v>
      </c>
      <c r="D92" s="3">
        <v>45719</v>
      </c>
      <c r="E92" s="1" t="s">
        <v>10</v>
      </c>
      <c r="F92" s="1">
        <v>5</v>
      </c>
      <c r="G92" s="1">
        <v>150</v>
      </c>
      <c r="H92" s="1">
        <v>750</v>
      </c>
    </row>
    <row r="93" spans="1:8" x14ac:dyDescent="0.35">
      <c r="A93" s="1">
        <v>92</v>
      </c>
      <c r="B93" s="1" t="s">
        <v>19</v>
      </c>
      <c r="C93" s="1" t="s">
        <v>20</v>
      </c>
      <c r="D93" s="3">
        <v>45719</v>
      </c>
      <c r="E93" s="1" t="s">
        <v>11</v>
      </c>
      <c r="F93" s="1">
        <v>6</v>
      </c>
      <c r="G93" s="1">
        <v>350</v>
      </c>
      <c r="H93" s="1">
        <v>2100</v>
      </c>
    </row>
    <row r="94" spans="1:8" x14ac:dyDescent="0.35">
      <c r="A94" s="1">
        <v>93</v>
      </c>
      <c r="B94" s="1" t="s">
        <v>19</v>
      </c>
      <c r="C94" s="1" t="s">
        <v>20</v>
      </c>
      <c r="D94" s="3">
        <v>45719</v>
      </c>
      <c r="E94" s="1" t="s">
        <v>12</v>
      </c>
      <c r="F94" s="1">
        <v>12</v>
      </c>
      <c r="G94" s="1">
        <v>1800</v>
      </c>
      <c r="H94" s="1">
        <v>21600</v>
      </c>
    </row>
    <row r="95" spans="1:8" x14ac:dyDescent="0.35">
      <c r="A95" s="1">
        <v>94</v>
      </c>
      <c r="B95" s="1" t="s">
        <v>19</v>
      </c>
      <c r="C95" s="1" t="s">
        <v>20</v>
      </c>
      <c r="D95" s="3">
        <v>45719</v>
      </c>
      <c r="E95" s="1" t="s">
        <v>13</v>
      </c>
      <c r="F95" s="1">
        <v>6</v>
      </c>
      <c r="G95" s="1">
        <v>2300</v>
      </c>
      <c r="H95" s="1">
        <v>13800</v>
      </c>
    </row>
    <row r="96" spans="1:8" x14ac:dyDescent="0.35">
      <c r="A96" s="1">
        <v>95</v>
      </c>
      <c r="B96" s="1" t="s">
        <v>19</v>
      </c>
      <c r="C96" s="1" t="s">
        <v>20</v>
      </c>
      <c r="D96" s="3">
        <v>45719</v>
      </c>
      <c r="E96" s="1" t="s">
        <v>14</v>
      </c>
      <c r="F96" s="1">
        <v>8</v>
      </c>
      <c r="G96" s="1">
        <v>4000</v>
      </c>
      <c r="H96" s="1">
        <v>32000</v>
      </c>
    </row>
    <row r="97" spans="1:8" x14ac:dyDescent="0.35">
      <c r="A97" s="1">
        <v>96</v>
      </c>
      <c r="B97" s="1" t="s">
        <v>19</v>
      </c>
      <c r="C97" s="1" t="s">
        <v>20</v>
      </c>
      <c r="D97" s="3">
        <v>45719</v>
      </c>
      <c r="E97" s="1" t="s">
        <v>15</v>
      </c>
      <c r="F97" s="1">
        <v>15</v>
      </c>
      <c r="G97" s="1">
        <v>8000</v>
      </c>
      <c r="H97" s="1">
        <v>120000</v>
      </c>
    </row>
    <row r="98" spans="1:8" x14ac:dyDescent="0.35">
      <c r="A98" s="1">
        <v>97</v>
      </c>
      <c r="B98" s="1" t="s">
        <v>21</v>
      </c>
      <c r="C98" s="1" t="s">
        <v>9</v>
      </c>
      <c r="D98" s="3">
        <v>45720</v>
      </c>
      <c r="E98" s="1" t="s">
        <v>10</v>
      </c>
      <c r="F98" s="1">
        <v>10</v>
      </c>
      <c r="G98" s="1">
        <v>150</v>
      </c>
      <c r="H98" s="1">
        <v>1500</v>
      </c>
    </row>
    <row r="99" spans="1:8" x14ac:dyDescent="0.35">
      <c r="A99" s="1">
        <v>98</v>
      </c>
      <c r="B99" s="1" t="s">
        <v>21</v>
      </c>
      <c r="C99" s="1" t="s">
        <v>9</v>
      </c>
      <c r="D99" s="3">
        <v>45720</v>
      </c>
      <c r="E99" s="1" t="s">
        <v>11</v>
      </c>
      <c r="F99" s="1">
        <v>9</v>
      </c>
      <c r="G99" s="1">
        <v>350</v>
      </c>
      <c r="H99" s="1">
        <v>3150</v>
      </c>
    </row>
    <row r="100" spans="1:8" x14ac:dyDescent="0.35">
      <c r="A100" s="1">
        <v>99</v>
      </c>
      <c r="B100" s="1" t="s">
        <v>21</v>
      </c>
      <c r="C100" s="1" t="s">
        <v>9</v>
      </c>
      <c r="D100" s="3">
        <v>45720</v>
      </c>
      <c r="E100" s="1" t="s">
        <v>12</v>
      </c>
      <c r="F100" s="1">
        <v>9</v>
      </c>
      <c r="G100" s="1">
        <v>1800</v>
      </c>
      <c r="H100" s="1">
        <v>16200</v>
      </c>
    </row>
    <row r="101" spans="1:8" x14ac:dyDescent="0.35">
      <c r="A101" s="1">
        <v>100</v>
      </c>
      <c r="B101" s="1" t="s">
        <v>21</v>
      </c>
      <c r="C101" s="1" t="s">
        <v>9</v>
      </c>
      <c r="D101" s="3">
        <v>45720</v>
      </c>
      <c r="E101" s="1" t="s">
        <v>13</v>
      </c>
      <c r="F101" s="1">
        <v>16</v>
      </c>
      <c r="G101" s="1">
        <v>2300</v>
      </c>
      <c r="H101" s="1">
        <v>36800</v>
      </c>
    </row>
    <row r="102" spans="1:8" x14ac:dyDescent="0.35">
      <c r="A102" s="1">
        <v>101</v>
      </c>
      <c r="B102" s="1" t="s">
        <v>21</v>
      </c>
      <c r="C102" s="1" t="s">
        <v>9</v>
      </c>
      <c r="D102" s="3">
        <v>45720</v>
      </c>
      <c r="E102" s="1" t="s">
        <v>14</v>
      </c>
      <c r="F102" s="1">
        <v>11</v>
      </c>
      <c r="G102" s="1">
        <v>4000</v>
      </c>
      <c r="H102" s="1">
        <v>44000</v>
      </c>
    </row>
    <row r="103" spans="1:8" x14ac:dyDescent="0.35">
      <c r="A103" s="1">
        <v>102</v>
      </c>
      <c r="B103" s="1" t="s">
        <v>21</v>
      </c>
      <c r="C103" s="1" t="s">
        <v>9</v>
      </c>
      <c r="D103" s="3">
        <v>45720</v>
      </c>
      <c r="E103" s="1" t="s">
        <v>15</v>
      </c>
      <c r="F103" s="1">
        <v>8</v>
      </c>
      <c r="G103" s="1">
        <v>8000</v>
      </c>
      <c r="H103" s="1">
        <v>64000</v>
      </c>
    </row>
    <row r="104" spans="1:8" x14ac:dyDescent="0.35">
      <c r="A104" s="1">
        <v>103</v>
      </c>
      <c r="B104" s="1" t="s">
        <v>22</v>
      </c>
      <c r="C104" s="1" t="s">
        <v>20</v>
      </c>
      <c r="D104" s="3">
        <v>45721</v>
      </c>
      <c r="E104" s="1" t="s">
        <v>10</v>
      </c>
      <c r="F104" s="1">
        <v>11</v>
      </c>
      <c r="G104" s="1">
        <v>150</v>
      </c>
      <c r="H104" s="1">
        <v>1650</v>
      </c>
    </row>
    <row r="105" spans="1:8" x14ac:dyDescent="0.35">
      <c r="A105" s="1">
        <v>104</v>
      </c>
      <c r="B105" s="1" t="s">
        <v>22</v>
      </c>
      <c r="C105" s="1" t="s">
        <v>20</v>
      </c>
      <c r="D105" s="3">
        <v>45721</v>
      </c>
      <c r="E105" s="1" t="s">
        <v>11</v>
      </c>
      <c r="F105" s="1">
        <v>4</v>
      </c>
      <c r="G105" s="1">
        <v>350</v>
      </c>
      <c r="H105" s="1">
        <v>1400</v>
      </c>
    </row>
    <row r="106" spans="1:8" x14ac:dyDescent="0.35">
      <c r="A106" s="1">
        <v>105</v>
      </c>
      <c r="B106" s="1" t="s">
        <v>22</v>
      </c>
      <c r="C106" s="1" t="s">
        <v>20</v>
      </c>
      <c r="D106" s="3">
        <v>45721</v>
      </c>
      <c r="E106" s="1" t="s">
        <v>12</v>
      </c>
      <c r="F106" s="1">
        <v>15</v>
      </c>
      <c r="G106" s="1">
        <v>1800</v>
      </c>
      <c r="H106" s="1">
        <v>27000</v>
      </c>
    </row>
    <row r="107" spans="1:8" x14ac:dyDescent="0.35">
      <c r="A107" s="1">
        <v>106</v>
      </c>
      <c r="B107" s="1" t="s">
        <v>22</v>
      </c>
      <c r="C107" s="1" t="s">
        <v>20</v>
      </c>
      <c r="D107" s="3">
        <v>45721</v>
      </c>
      <c r="E107" s="1" t="s">
        <v>13</v>
      </c>
      <c r="F107" s="1">
        <v>11</v>
      </c>
      <c r="G107" s="1">
        <v>2300</v>
      </c>
      <c r="H107" s="1">
        <v>25300</v>
      </c>
    </row>
    <row r="108" spans="1:8" x14ac:dyDescent="0.35">
      <c r="A108" s="1">
        <v>107</v>
      </c>
      <c r="B108" s="1" t="s">
        <v>22</v>
      </c>
      <c r="C108" s="1" t="s">
        <v>20</v>
      </c>
      <c r="D108" s="3">
        <v>45721</v>
      </c>
      <c r="E108" s="1" t="s">
        <v>14</v>
      </c>
      <c r="F108" s="1">
        <v>14</v>
      </c>
      <c r="G108" s="1">
        <v>4000</v>
      </c>
      <c r="H108" s="1">
        <v>56000</v>
      </c>
    </row>
    <row r="109" spans="1:8" x14ac:dyDescent="0.35">
      <c r="A109" s="1">
        <v>108</v>
      </c>
      <c r="B109" s="1" t="s">
        <v>22</v>
      </c>
      <c r="C109" s="1" t="s">
        <v>20</v>
      </c>
      <c r="D109" s="3">
        <v>45721</v>
      </c>
      <c r="E109" s="1" t="s">
        <v>15</v>
      </c>
      <c r="F109" s="1">
        <v>15</v>
      </c>
      <c r="G109" s="1">
        <v>8000</v>
      </c>
      <c r="H109" s="1">
        <v>120000</v>
      </c>
    </row>
    <row r="110" spans="1:8" x14ac:dyDescent="0.35">
      <c r="A110" s="1">
        <v>109</v>
      </c>
      <c r="B110" s="1" t="s">
        <v>8</v>
      </c>
      <c r="C110" s="1" t="s">
        <v>9</v>
      </c>
      <c r="D110" s="3">
        <v>45748</v>
      </c>
      <c r="E110" s="1" t="s">
        <v>10</v>
      </c>
      <c r="F110" s="1">
        <v>4</v>
      </c>
      <c r="G110" s="1">
        <v>150</v>
      </c>
      <c r="H110" s="1">
        <v>600</v>
      </c>
    </row>
    <row r="111" spans="1:8" x14ac:dyDescent="0.35">
      <c r="A111" s="1">
        <v>110</v>
      </c>
      <c r="B111" s="1" t="s">
        <v>8</v>
      </c>
      <c r="C111" s="1" t="s">
        <v>9</v>
      </c>
      <c r="D111" s="3">
        <v>45748</v>
      </c>
      <c r="E111" s="1" t="s">
        <v>11</v>
      </c>
      <c r="F111" s="1">
        <v>7</v>
      </c>
      <c r="G111" s="1">
        <v>350</v>
      </c>
      <c r="H111" s="1">
        <v>2450</v>
      </c>
    </row>
    <row r="112" spans="1:8" x14ac:dyDescent="0.35">
      <c r="A112" s="1">
        <v>111</v>
      </c>
      <c r="B112" s="1" t="s">
        <v>8</v>
      </c>
      <c r="C112" s="1" t="s">
        <v>9</v>
      </c>
      <c r="D112" s="3">
        <v>45748</v>
      </c>
      <c r="E112" s="1" t="s">
        <v>12</v>
      </c>
      <c r="F112" s="1">
        <v>12</v>
      </c>
      <c r="G112" s="1">
        <v>1800</v>
      </c>
      <c r="H112" s="1">
        <v>21600</v>
      </c>
    </row>
    <row r="113" spans="1:8" x14ac:dyDescent="0.35">
      <c r="A113" s="1">
        <v>112</v>
      </c>
      <c r="B113" s="1" t="s">
        <v>8</v>
      </c>
      <c r="C113" s="1" t="s">
        <v>9</v>
      </c>
      <c r="D113" s="3">
        <v>45748</v>
      </c>
      <c r="E113" s="1" t="s">
        <v>13</v>
      </c>
      <c r="F113" s="1">
        <v>15</v>
      </c>
      <c r="G113" s="1">
        <v>2300</v>
      </c>
      <c r="H113" s="1">
        <v>34500</v>
      </c>
    </row>
    <row r="114" spans="1:8" x14ac:dyDescent="0.35">
      <c r="A114" s="1">
        <v>113</v>
      </c>
      <c r="B114" s="1" t="s">
        <v>8</v>
      </c>
      <c r="C114" s="1" t="s">
        <v>9</v>
      </c>
      <c r="D114" s="3">
        <v>45748</v>
      </c>
      <c r="E114" s="1" t="s">
        <v>14</v>
      </c>
      <c r="F114" s="1">
        <v>12</v>
      </c>
      <c r="G114" s="1">
        <v>4000</v>
      </c>
      <c r="H114" s="1">
        <v>48000</v>
      </c>
    </row>
    <row r="115" spans="1:8" x14ac:dyDescent="0.35">
      <c r="A115" s="1">
        <v>114</v>
      </c>
      <c r="B115" s="1" t="s">
        <v>8</v>
      </c>
      <c r="C115" s="1" t="s">
        <v>9</v>
      </c>
      <c r="D115" s="3">
        <v>45748</v>
      </c>
      <c r="E115" s="1" t="s">
        <v>15</v>
      </c>
      <c r="F115" s="1">
        <v>10</v>
      </c>
      <c r="G115" s="1">
        <v>8000</v>
      </c>
      <c r="H115" s="1">
        <v>80000</v>
      </c>
    </row>
    <row r="116" spans="1:8" x14ac:dyDescent="0.35">
      <c r="A116" s="1">
        <v>115</v>
      </c>
      <c r="B116" s="1" t="s">
        <v>16</v>
      </c>
      <c r="C116" s="1" t="s">
        <v>17</v>
      </c>
      <c r="D116" s="3">
        <v>45749</v>
      </c>
      <c r="E116" s="1" t="s">
        <v>10</v>
      </c>
      <c r="F116" s="1">
        <v>14</v>
      </c>
      <c r="G116" s="1">
        <v>150</v>
      </c>
      <c r="H116" s="1">
        <v>2100</v>
      </c>
    </row>
    <row r="117" spans="1:8" x14ac:dyDescent="0.35">
      <c r="A117" s="1">
        <v>116</v>
      </c>
      <c r="B117" s="1" t="s">
        <v>18</v>
      </c>
      <c r="C117" s="1" t="s">
        <v>17</v>
      </c>
      <c r="D117" s="3">
        <v>45749</v>
      </c>
      <c r="E117" s="1" t="s">
        <v>10</v>
      </c>
      <c r="F117" s="1">
        <v>11</v>
      </c>
      <c r="G117" s="1">
        <v>150</v>
      </c>
      <c r="H117" s="1">
        <v>1650</v>
      </c>
    </row>
    <row r="118" spans="1:8" x14ac:dyDescent="0.35">
      <c r="A118" s="1">
        <v>117</v>
      </c>
      <c r="B118" s="1" t="s">
        <v>16</v>
      </c>
      <c r="C118" s="1" t="s">
        <v>17</v>
      </c>
      <c r="D118" s="3">
        <v>45749</v>
      </c>
      <c r="E118" s="1" t="s">
        <v>11</v>
      </c>
      <c r="F118" s="1">
        <v>9</v>
      </c>
      <c r="G118" s="1">
        <v>350</v>
      </c>
      <c r="H118" s="1">
        <v>3150</v>
      </c>
    </row>
    <row r="119" spans="1:8" x14ac:dyDescent="0.35">
      <c r="A119" s="1">
        <v>118</v>
      </c>
      <c r="B119" s="1" t="s">
        <v>18</v>
      </c>
      <c r="C119" s="1" t="s">
        <v>17</v>
      </c>
      <c r="D119" s="3">
        <v>45749</v>
      </c>
      <c r="E119" s="1" t="s">
        <v>11</v>
      </c>
      <c r="F119" s="1">
        <v>4</v>
      </c>
      <c r="G119" s="1">
        <v>350</v>
      </c>
      <c r="H119" s="1">
        <v>1400</v>
      </c>
    </row>
    <row r="120" spans="1:8" x14ac:dyDescent="0.35">
      <c r="A120" s="1">
        <v>119</v>
      </c>
      <c r="B120" s="1" t="s">
        <v>16</v>
      </c>
      <c r="C120" s="1" t="s">
        <v>17</v>
      </c>
      <c r="D120" s="3">
        <v>45749</v>
      </c>
      <c r="E120" s="1" t="s">
        <v>12</v>
      </c>
      <c r="F120" s="1">
        <v>15</v>
      </c>
      <c r="G120" s="1">
        <v>1800</v>
      </c>
      <c r="H120" s="1">
        <v>27000</v>
      </c>
    </row>
    <row r="121" spans="1:8" x14ac:dyDescent="0.35">
      <c r="A121" s="1">
        <v>120</v>
      </c>
      <c r="B121" s="1" t="s">
        <v>18</v>
      </c>
      <c r="C121" s="1" t="s">
        <v>17</v>
      </c>
      <c r="D121" s="3">
        <v>45749</v>
      </c>
      <c r="E121" s="1" t="s">
        <v>12</v>
      </c>
      <c r="F121" s="1">
        <v>16</v>
      </c>
      <c r="G121" s="1">
        <v>1800</v>
      </c>
      <c r="H121" s="1">
        <v>28800</v>
      </c>
    </row>
    <row r="122" spans="1:8" x14ac:dyDescent="0.35">
      <c r="A122" s="1">
        <v>121</v>
      </c>
      <c r="B122" s="1" t="s">
        <v>16</v>
      </c>
      <c r="C122" s="1" t="s">
        <v>17</v>
      </c>
      <c r="D122" s="3">
        <v>45749</v>
      </c>
      <c r="E122" s="1" t="s">
        <v>13</v>
      </c>
      <c r="F122" s="1">
        <v>14</v>
      </c>
      <c r="G122" s="1">
        <v>2300</v>
      </c>
      <c r="H122" s="1">
        <v>32200</v>
      </c>
    </row>
    <row r="123" spans="1:8" x14ac:dyDescent="0.35">
      <c r="A123" s="1">
        <v>122</v>
      </c>
      <c r="B123" s="1" t="s">
        <v>18</v>
      </c>
      <c r="C123" s="1" t="s">
        <v>17</v>
      </c>
      <c r="D123" s="3">
        <v>45749</v>
      </c>
      <c r="E123" s="1" t="s">
        <v>13</v>
      </c>
      <c r="F123" s="1">
        <v>14</v>
      </c>
      <c r="G123" s="1">
        <v>2300</v>
      </c>
      <c r="H123" s="1">
        <v>32200</v>
      </c>
    </row>
    <row r="124" spans="1:8" x14ac:dyDescent="0.35">
      <c r="A124" s="1">
        <v>123</v>
      </c>
      <c r="B124" s="1" t="s">
        <v>16</v>
      </c>
      <c r="C124" s="1" t="s">
        <v>17</v>
      </c>
      <c r="D124" s="3">
        <v>45749</v>
      </c>
      <c r="E124" s="1" t="s">
        <v>14</v>
      </c>
      <c r="F124" s="1">
        <v>9</v>
      </c>
      <c r="G124" s="1">
        <v>4000</v>
      </c>
      <c r="H124" s="1">
        <v>36000</v>
      </c>
    </row>
    <row r="125" spans="1:8" x14ac:dyDescent="0.35">
      <c r="A125" s="1">
        <v>124</v>
      </c>
      <c r="B125" s="1" t="s">
        <v>18</v>
      </c>
      <c r="C125" s="1" t="s">
        <v>17</v>
      </c>
      <c r="D125" s="3">
        <v>45749</v>
      </c>
      <c r="E125" s="1" t="s">
        <v>14</v>
      </c>
      <c r="F125" s="1">
        <v>5</v>
      </c>
      <c r="G125" s="1">
        <v>4000</v>
      </c>
      <c r="H125" s="1">
        <v>20000</v>
      </c>
    </row>
    <row r="126" spans="1:8" x14ac:dyDescent="0.35">
      <c r="A126" s="1">
        <v>125</v>
      </c>
      <c r="B126" s="1" t="s">
        <v>18</v>
      </c>
      <c r="C126" s="1" t="s">
        <v>17</v>
      </c>
      <c r="D126" s="3">
        <v>45749</v>
      </c>
      <c r="E126" s="1" t="s">
        <v>15</v>
      </c>
      <c r="F126" s="1">
        <v>15</v>
      </c>
      <c r="G126" s="1">
        <v>8000</v>
      </c>
      <c r="H126" s="1">
        <v>120000</v>
      </c>
    </row>
    <row r="127" spans="1:8" x14ac:dyDescent="0.35">
      <c r="A127" s="1">
        <v>126</v>
      </c>
      <c r="B127" s="1" t="s">
        <v>16</v>
      </c>
      <c r="C127" s="1" t="s">
        <v>17</v>
      </c>
      <c r="D127" s="3">
        <v>45749</v>
      </c>
      <c r="E127" s="1" t="s">
        <v>15</v>
      </c>
      <c r="F127" s="1">
        <v>4</v>
      </c>
      <c r="G127" s="1">
        <v>8000</v>
      </c>
      <c r="H127" s="1">
        <v>32000</v>
      </c>
    </row>
    <row r="128" spans="1:8" x14ac:dyDescent="0.35">
      <c r="A128" s="1">
        <v>127</v>
      </c>
      <c r="B128" s="1" t="s">
        <v>19</v>
      </c>
      <c r="C128" s="1" t="s">
        <v>20</v>
      </c>
      <c r="D128" s="3">
        <v>45750</v>
      </c>
      <c r="E128" s="1" t="s">
        <v>10</v>
      </c>
      <c r="F128" s="1">
        <v>9</v>
      </c>
      <c r="G128" s="1">
        <v>150</v>
      </c>
      <c r="H128" s="1">
        <v>1350</v>
      </c>
    </row>
    <row r="129" spans="1:8" x14ac:dyDescent="0.35">
      <c r="A129" s="1">
        <v>128</v>
      </c>
      <c r="B129" s="1" t="s">
        <v>19</v>
      </c>
      <c r="C129" s="1" t="s">
        <v>20</v>
      </c>
      <c r="D129" s="3">
        <v>45750</v>
      </c>
      <c r="E129" s="1" t="s">
        <v>11</v>
      </c>
      <c r="F129" s="1">
        <v>8</v>
      </c>
      <c r="G129" s="1">
        <v>350</v>
      </c>
      <c r="H129" s="1">
        <v>2800</v>
      </c>
    </row>
    <row r="130" spans="1:8" x14ac:dyDescent="0.35">
      <c r="A130" s="1">
        <v>129</v>
      </c>
      <c r="B130" s="1" t="s">
        <v>19</v>
      </c>
      <c r="C130" s="1" t="s">
        <v>20</v>
      </c>
      <c r="D130" s="3">
        <v>45750</v>
      </c>
      <c r="E130" s="1" t="s">
        <v>12</v>
      </c>
      <c r="F130" s="1">
        <v>6</v>
      </c>
      <c r="G130" s="1">
        <v>1800</v>
      </c>
      <c r="H130" s="1">
        <v>10800</v>
      </c>
    </row>
    <row r="131" spans="1:8" x14ac:dyDescent="0.35">
      <c r="A131" s="1">
        <v>130</v>
      </c>
      <c r="B131" s="1" t="s">
        <v>19</v>
      </c>
      <c r="C131" s="1" t="s">
        <v>20</v>
      </c>
      <c r="D131" s="3">
        <v>45750</v>
      </c>
      <c r="E131" s="1" t="s">
        <v>13</v>
      </c>
      <c r="F131" s="1">
        <v>12</v>
      </c>
      <c r="G131" s="1">
        <v>2300</v>
      </c>
      <c r="H131" s="1">
        <v>27600</v>
      </c>
    </row>
    <row r="132" spans="1:8" x14ac:dyDescent="0.35">
      <c r="A132" s="1">
        <v>131</v>
      </c>
      <c r="B132" s="1" t="s">
        <v>19</v>
      </c>
      <c r="C132" s="1" t="s">
        <v>20</v>
      </c>
      <c r="D132" s="3">
        <v>45750</v>
      </c>
      <c r="E132" s="1" t="s">
        <v>14</v>
      </c>
      <c r="F132" s="1">
        <v>9</v>
      </c>
      <c r="G132" s="1">
        <v>4000</v>
      </c>
      <c r="H132" s="1">
        <v>36000</v>
      </c>
    </row>
    <row r="133" spans="1:8" x14ac:dyDescent="0.35">
      <c r="A133" s="1">
        <v>132</v>
      </c>
      <c r="B133" s="1" t="s">
        <v>19</v>
      </c>
      <c r="C133" s="1" t="s">
        <v>20</v>
      </c>
      <c r="D133" s="3">
        <v>45750</v>
      </c>
      <c r="E133" s="1" t="s">
        <v>15</v>
      </c>
      <c r="F133" s="1">
        <v>7</v>
      </c>
      <c r="G133" s="1">
        <v>8000</v>
      </c>
      <c r="H133" s="1">
        <v>56000</v>
      </c>
    </row>
    <row r="134" spans="1:8" x14ac:dyDescent="0.35">
      <c r="A134" s="1">
        <v>133</v>
      </c>
      <c r="B134" s="1" t="s">
        <v>21</v>
      </c>
      <c r="C134" s="1" t="s">
        <v>9</v>
      </c>
      <c r="D134" s="3">
        <v>45751</v>
      </c>
      <c r="E134" s="1" t="s">
        <v>10</v>
      </c>
      <c r="F134" s="1">
        <v>15</v>
      </c>
      <c r="G134" s="1">
        <v>150</v>
      </c>
      <c r="H134" s="1">
        <v>2250</v>
      </c>
    </row>
    <row r="135" spans="1:8" x14ac:dyDescent="0.35">
      <c r="A135" s="1">
        <v>134</v>
      </c>
      <c r="B135" s="1" t="s">
        <v>21</v>
      </c>
      <c r="C135" s="1" t="s">
        <v>9</v>
      </c>
      <c r="D135" s="3">
        <v>45751</v>
      </c>
      <c r="E135" s="1" t="s">
        <v>11</v>
      </c>
      <c r="F135" s="1">
        <v>13</v>
      </c>
      <c r="G135" s="1">
        <v>350</v>
      </c>
      <c r="H135" s="1">
        <v>4550</v>
      </c>
    </row>
    <row r="136" spans="1:8" x14ac:dyDescent="0.35">
      <c r="A136" s="1">
        <v>135</v>
      </c>
      <c r="B136" s="1" t="s">
        <v>21</v>
      </c>
      <c r="C136" s="1" t="s">
        <v>9</v>
      </c>
      <c r="D136" s="3">
        <v>45751</v>
      </c>
      <c r="E136" s="1" t="s">
        <v>12</v>
      </c>
      <c r="F136" s="1">
        <v>10</v>
      </c>
      <c r="G136" s="1">
        <v>1800</v>
      </c>
      <c r="H136" s="1">
        <v>18000</v>
      </c>
    </row>
    <row r="137" spans="1:8" x14ac:dyDescent="0.35">
      <c r="A137" s="1">
        <v>136</v>
      </c>
      <c r="B137" s="1" t="s">
        <v>21</v>
      </c>
      <c r="C137" s="1" t="s">
        <v>9</v>
      </c>
      <c r="D137" s="3">
        <v>45751</v>
      </c>
      <c r="E137" s="1" t="s">
        <v>13</v>
      </c>
      <c r="F137" s="1">
        <v>15</v>
      </c>
      <c r="G137" s="1">
        <v>2300</v>
      </c>
      <c r="H137" s="1">
        <v>34500</v>
      </c>
    </row>
    <row r="138" spans="1:8" x14ac:dyDescent="0.35">
      <c r="A138" s="1">
        <v>137</v>
      </c>
      <c r="B138" s="1" t="s">
        <v>21</v>
      </c>
      <c r="C138" s="1" t="s">
        <v>9</v>
      </c>
      <c r="D138" s="3">
        <v>45751</v>
      </c>
      <c r="E138" s="1" t="s">
        <v>14</v>
      </c>
      <c r="F138" s="1">
        <v>16</v>
      </c>
      <c r="G138" s="1">
        <v>4000</v>
      </c>
      <c r="H138" s="1">
        <v>64000</v>
      </c>
    </row>
    <row r="139" spans="1:8" x14ac:dyDescent="0.35">
      <c r="A139" s="1">
        <v>138</v>
      </c>
      <c r="B139" s="1" t="s">
        <v>21</v>
      </c>
      <c r="C139" s="1" t="s">
        <v>9</v>
      </c>
      <c r="D139" s="3">
        <v>45751</v>
      </c>
      <c r="E139" s="1" t="s">
        <v>15</v>
      </c>
      <c r="F139" s="1">
        <v>9</v>
      </c>
      <c r="G139" s="1">
        <v>8000</v>
      </c>
      <c r="H139" s="1">
        <v>72000</v>
      </c>
    </row>
    <row r="140" spans="1:8" x14ac:dyDescent="0.35">
      <c r="A140" s="1">
        <v>139</v>
      </c>
      <c r="B140" s="1" t="s">
        <v>22</v>
      </c>
      <c r="C140" s="1" t="s">
        <v>20</v>
      </c>
      <c r="D140" s="3">
        <v>45752</v>
      </c>
      <c r="E140" s="1" t="s">
        <v>10</v>
      </c>
      <c r="F140" s="1">
        <v>13</v>
      </c>
      <c r="G140" s="1">
        <v>150</v>
      </c>
      <c r="H140" s="1">
        <v>1950</v>
      </c>
    </row>
    <row r="141" spans="1:8" x14ac:dyDescent="0.35">
      <c r="A141" s="1">
        <v>140</v>
      </c>
      <c r="B141" s="1" t="s">
        <v>22</v>
      </c>
      <c r="C141" s="1" t="s">
        <v>20</v>
      </c>
      <c r="D141" s="3">
        <v>45752</v>
      </c>
      <c r="E141" s="1" t="s">
        <v>11</v>
      </c>
      <c r="F141" s="1">
        <v>11</v>
      </c>
      <c r="G141" s="1">
        <v>350</v>
      </c>
      <c r="H141" s="1">
        <v>3850</v>
      </c>
    </row>
    <row r="142" spans="1:8" x14ac:dyDescent="0.35">
      <c r="A142" s="1">
        <v>141</v>
      </c>
      <c r="B142" s="1" t="s">
        <v>22</v>
      </c>
      <c r="C142" s="1" t="s">
        <v>20</v>
      </c>
      <c r="D142" s="3">
        <v>45752</v>
      </c>
      <c r="E142" s="1" t="s">
        <v>12</v>
      </c>
      <c r="F142" s="1">
        <v>13</v>
      </c>
      <c r="G142" s="1">
        <v>1800</v>
      </c>
      <c r="H142" s="1">
        <v>23400</v>
      </c>
    </row>
    <row r="143" spans="1:8" x14ac:dyDescent="0.35">
      <c r="A143" s="1">
        <v>142</v>
      </c>
      <c r="B143" s="1" t="s">
        <v>22</v>
      </c>
      <c r="C143" s="1" t="s">
        <v>20</v>
      </c>
      <c r="D143" s="3">
        <v>45752</v>
      </c>
      <c r="E143" s="1" t="s">
        <v>13</v>
      </c>
      <c r="F143" s="1">
        <v>14</v>
      </c>
      <c r="G143" s="1">
        <v>2300</v>
      </c>
      <c r="H143" s="1">
        <v>32200</v>
      </c>
    </row>
    <row r="144" spans="1:8" x14ac:dyDescent="0.35">
      <c r="A144" s="1">
        <v>143</v>
      </c>
      <c r="B144" s="1" t="s">
        <v>22</v>
      </c>
      <c r="C144" s="1" t="s">
        <v>20</v>
      </c>
      <c r="D144" s="3">
        <v>45752</v>
      </c>
      <c r="E144" s="1" t="s">
        <v>14</v>
      </c>
      <c r="F144" s="1">
        <v>13</v>
      </c>
      <c r="G144" s="1">
        <v>4000</v>
      </c>
      <c r="H144" s="1">
        <v>52000</v>
      </c>
    </row>
    <row r="145" spans="1:8" x14ac:dyDescent="0.35">
      <c r="A145" s="1">
        <v>144</v>
      </c>
      <c r="B145" s="1" t="s">
        <v>22</v>
      </c>
      <c r="C145" s="1" t="s">
        <v>20</v>
      </c>
      <c r="D145" s="3">
        <v>45752</v>
      </c>
      <c r="E145" s="1" t="s">
        <v>15</v>
      </c>
      <c r="F145" s="1">
        <v>9</v>
      </c>
      <c r="G145" s="1">
        <v>8000</v>
      </c>
      <c r="H145" s="1">
        <v>72000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8F24F-272C-40E9-B584-2CC197A16F1A}">
  <dimension ref="A3:H20"/>
  <sheetViews>
    <sheetView workbookViewId="0">
      <selection activeCell="G5" sqref="G5"/>
    </sheetView>
  </sheetViews>
  <sheetFormatPr defaultRowHeight="14.5" x14ac:dyDescent="0.35"/>
  <cols>
    <col min="1" max="1" width="12.36328125" bestFit="1" customWidth="1"/>
    <col min="2" max="2" width="10.08984375" bestFit="1" customWidth="1"/>
    <col min="4" max="6" width="11.36328125" bestFit="1" customWidth="1"/>
    <col min="7" max="7" width="18.1796875" bestFit="1" customWidth="1"/>
    <col min="8" max="8" width="11.36328125" bestFit="1" customWidth="1"/>
    <col min="9" max="9" width="10.1796875" bestFit="1" customWidth="1"/>
  </cols>
  <sheetData>
    <row r="3" spans="1:8" x14ac:dyDescent="0.35">
      <c r="A3" s="4" t="s">
        <v>23</v>
      </c>
      <c r="B3" t="s">
        <v>29</v>
      </c>
      <c r="D3" s="4" t="s">
        <v>23</v>
      </c>
      <c r="E3" t="s">
        <v>29</v>
      </c>
      <c r="G3" s="4" t="s">
        <v>23</v>
      </c>
      <c r="H3" t="s">
        <v>30</v>
      </c>
    </row>
    <row r="4" spans="1:8" x14ac:dyDescent="0.35">
      <c r="A4" s="5" t="s">
        <v>25</v>
      </c>
      <c r="B4" s="6">
        <v>1014550</v>
      </c>
      <c r="D4" s="5" t="s">
        <v>17</v>
      </c>
      <c r="E4" s="6">
        <v>1203900</v>
      </c>
      <c r="G4" s="5" t="s">
        <v>11</v>
      </c>
      <c r="H4" s="6">
        <v>217</v>
      </c>
    </row>
    <row r="5" spans="1:8" x14ac:dyDescent="0.35">
      <c r="A5" s="5" t="s">
        <v>26</v>
      </c>
      <c r="B5" s="6">
        <v>926100</v>
      </c>
      <c r="D5" s="5" t="s">
        <v>20</v>
      </c>
      <c r="E5" s="6">
        <v>1340900</v>
      </c>
      <c r="G5" s="5" t="s">
        <v>15</v>
      </c>
      <c r="H5" s="6">
        <v>244</v>
      </c>
    </row>
    <row r="6" spans="1:8" x14ac:dyDescent="0.35">
      <c r="A6" s="5" t="s">
        <v>27</v>
      </c>
      <c r="B6" s="6">
        <v>1108400</v>
      </c>
      <c r="D6" s="5" t="s">
        <v>9</v>
      </c>
      <c r="E6" s="6">
        <v>1543150</v>
      </c>
      <c r="G6" s="5" t="s">
        <v>14</v>
      </c>
      <c r="H6" s="6">
        <v>244</v>
      </c>
    </row>
    <row r="7" spans="1:8" x14ac:dyDescent="0.35">
      <c r="A7" s="5" t="s">
        <v>28</v>
      </c>
      <c r="B7" s="6">
        <v>1038900</v>
      </c>
      <c r="D7" s="5" t="s">
        <v>24</v>
      </c>
      <c r="E7" s="6">
        <v>4087950</v>
      </c>
      <c r="G7" s="5" t="s">
        <v>10</v>
      </c>
      <c r="H7" s="6">
        <v>218</v>
      </c>
    </row>
    <row r="8" spans="1:8" x14ac:dyDescent="0.35">
      <c r="A8" s="5" t="s">
        <v>24</v>
      </c>
      <c r="B8" s="6">
        <v>4087950</v>
      </c>
      <c r="G8" s="5" t="s">
        <v>12</v>
      </c>
      <c r="H8" s="6">
        <v>248</v>
      </c>
    </row>
    <row r="9" spans="1:8" x14ac:dyDescent="0.35">
      <c r="G9" s="5" t="s">
        <v>13</v>
      </c>
      <c r="H9" s="6">
        <v>263</v>
      </c>
    </row>
    <row r="10" spans="1:8" x14ac:dyDescent="0.35">
      <c r="D10" t="s">
        <v>29</v>
      </c>
      <c r="G10" s="5" t="s">
        <v>24</v>
      </c>
      <c r="H10" s="6">
        <v>1434</v>
      </c>
    </row>
    <row r="11" spans="1:8" x14ac:dyDescent="0.35">
      <c r="A11" s="4" t="s">
        <v>23</v>
      </c>
      <c r="B11" t="s">
        <v>30</v>
      </c>
      <c r="D11" s="6">
        <v>4087950</v>
      </c>
      <c r="E11" s="7">
        <f>GETPIVOTDATA("Total",$D$10)</f>
        <v>4087950</v>
      </c>
    </row>
    <row r="12" spans="1:8" x14ac:dyDescent="0.35">
      <c r="A12" s="5" t="s">
        <v>11</v>
      </c>
      <c r="B12" s="6">
        <v>217</v>
      </c>
    </row>
    <row r="13" spans="1:8" x14ac:dyDescent="0.35">
      <c r="A13" s="5" t="s">
        <v>15</v>
      </c>
      <c r="B13" s="6">
        <v>244</v>
      </c>
      <c r="G13" s="4" t="s">
        <v>23</v>
      </c>
      <c r="H13" t="s">
        <v>29</v>
      </c>
    </row>
    <row r="14" spans="1:8" x14ac:dyDescent="0.35">
      <c r="A14" s="5" t="s">
        <v>14</v>
      </c>
      <c r="B14" s="6">
        <v>244</v>
      </c>
      <c r="G14" s="5" t="s">
        <v>22</v>
      </c>
      <c r="H14" s="6">
        <v>754950</v>
      </c>
    </row>
    <row r="15" spans="1:8" x14ac:dyDescent="0.35">
      <c r="A15" s="5" t="s">
        <v>10</v>
      </c>
      <c r="B15" s="6">
        <v>218</v>
      </c>
      <c r="G15" s="5" t="s">
        <v>16</v>
      </c>
      <c r="H15" s="6">
        <v>593650</v>
      </c>
    </row>
    <row r="16" spans="1:8" x14ac:dyDescent="0.35">
      <c r="A16" s="5" t="s">
        <v>12</v>
      </c>
      <c r="B16" s="6">
        <v>248</v>
      </c>
      <c r="G16" s="5" t="s">
        <v>21</v>
      </c>
      <c r="H16" s="6">
        <v>769200</v>
      </c>
    </row>
    <row r="17" spans="1:8" x14ac:dyDescent="0.35">
      <c r="A17" s="5" t="s">
        <v>13</v>
      </c>
      <c r="B17" s="6">
        <v>263</v>
      </c>
      <c r="G17" s="5" t="s">
        <v>19</v>
      </c>
      <c r="H17" s="6">
        <v>585950</v>
      </c>
    </row>
    <row r="18" spans="1:8" x14ac:dyDescent="0.35">
      <c r="A18" s="5" t="s">
        <v>24</v>
      </c>
      <c r="B18" s="6">
        <v>1434</v>
      </c>
      <c r="G18" s="5" t="s">
        <v>18</v>
      </c>
      <c r="H18" s="6">
        <v>610250</v>
      </c>
    </row>
    <row r="19" spans="1:8" x14ac:dyDescent="0.35">
      <c r="G19" s="5" t="s">
        <v>8</v>
      </c>
      <c r="H19" s="6">
        <v>773950</v>
      </c>
    </row>
    <row r="20" spans="1:8" x14ac:dyDescent="0.35">
      <c r="G20" s="5" t="s">
        <v>24</v>
      </c>
      <c r="H20" s="6">
        <v>4087950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5FF7-43A7-4D30-AC78-F95D26FBE701}">
  <dimension ref="A1"/>
  <sheetViews>
    <sheetView showGridLines="0" zoomScale="80" zoomScaleNormal="8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9A42-F495-4E20-83AA-ECD533E5A0FE}">
  <dimension ref="A1"/>
  <sheetViews>
    <sheetView showGridLines="0" zoomScale="80" zoomScaleNormal="80" workbookViewId="0"/>
  </sheetViews>
  <sheetFormatPr defaultRowHeight="14.5" x14ac:dyDescent="0.35"/>
  <cols>
    <col min="1" max="16384" width="8.7265625" style="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Dashboard</vt:lpstr>
      <vt:lpstr>Seller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Vedant Dharmale</dc:creator>
  <cp:lastModifiedBy>Vedant Dharmale</cp:lastModifiedBy>
  <dcterms:created xsi:type="dcterms:W3CDTF">2026-01-15T10:04:19Z</dcterms:created>
  <dcterms:modified xsi:type="dcterms:W3CDTF">2026-01-15T11:06:51Z</dcterms:modified>
</cp:coreProperties>
</file>